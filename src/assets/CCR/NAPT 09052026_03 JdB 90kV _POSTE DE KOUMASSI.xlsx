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https://sonatrelcmr-my.sharepoint.com/personal/patrick_ebana_sonatrel_co_cm/Documents/NAPT/"/>
    </mc:Choice>
  </mc:AlternateContent>
  <xr:revisionPtr revIDLastSave="3" documentId="13_ncr:1_{956D1E0C-953A-4F9A-A545-77CB682CF139}" xr6:coauthVersionLast="47" xr6:coauthVersionMax="47" xr10:uidLastSave="{8DEF4A8E-AC04-491C-B480-6FE456F37702}"/>
  <bookViews>
    <workbookView xWindow="-108" yWindow="-108" windowWidth="23256" windowHeight="13896" xr2:uid="{00000000-000D-0000-FFFF-FFFF00000000}"/>
  </bookViews>
  <sheets>
    <sheet name="NAPT JdB90kV_POSTE KMSSI   " sheetId="1" r:id="rId1"/>
  </sheets>
  <definedNames>
    <definedName name="_xlnm.Print_Area" localSheetId="0">'NAPT JdB90kV_POSTE KMSSI   '!$A$1:$J$77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7" i="1" l="1"/>
  <c r="I36" i="1"/>
  <c r="I38" i="1" s="1"/>
  <c r="I35" i="1"/>
  <c r="H38" i="1"/>
  <c r="J38" i="1" s="1"/>
  <c r="J36" i="1"/>
  <c r="J35" i="1"/>
  <c r="J37" i="1" l="1"/>
</calcChain>
</file>

<file path=xl/sharedStrings.xml><?xml version="1.0" encoding="utf-8"?>
<sst xmlns="http://schemas.openxmlformats.org/spreadsheetml/2006/main" count="165" uniqueCount="94">
  <si>
    <t>DIRECTION DE L'EXPLOITATION DES SYSTEMES ELECTRIQUES</t>
  </si>
  <si>
    <t>Unité Demanderesse des travaux avec retrait d'ouvrage :</t>
  </si>
  <si>
    <t>Date réception demande travaux</t>
  </si>
  <si>
    <t>N° Demande de travaux</t>
  </si>
  <si>
    <t>Nom du demandeur:</t>
  </si>
  <si>
    <t>N° demande de retrait</t>
  </si>
  <si>
    <t xml:space="preserve">Date d'émission :   </t>
  </si>
  <si>
    <t>Consistance des travaux :</t>
  </si>
  <si>
    <t>Chantier 1</t>
  </si>
  <si>
    <t>Début de la consignation le :</t>
  </si>
  <si>
    <t>à</t>
  </si>
  <si>
    <t xml:space="preserve">Début des travaux le : </t>
  </si>
  <si>
    <t>Fin des travaux le :</t>
  </si>
  <si>
    <t>Retour à l'exploitation le :</t>
  </si>
  <si>
    <t>Délai de restitution d'urgence</t>
  </si>
  <si>
    <t>Chantier</t>
  </si>
  <si>
    <t>Affectations ou Rôles</t>
  </si>
  <si>
    <t>Personne désignée</t>
  </si>
  <si>
    <t>Unité</t>
  </si>
  <si>
    <t>Entreprise</t>
  </si>
  <si>
    <t>Téléphone</t>
  </si>
  <si>
    <t>PREVISION</t>
  </si>
  <si>
    <t>PREVISION PRODUCTION THERMIQUE (MWh)</t>
  </si>
  <si>
    <t>PREVISION ENF (MWh)</t>
  </si>
  <si>
    <t>%</t>
  </si>
  <si>
    <t>Surveillant de securité</t>
  </si>
  <si>
    <t>Observations générales :</t>
  </si>
  <si>
    <t xml:space="preserve">Indications sur les manœuvres et condamnations à effectuer : </t>
  </si>
  <si>
    <t>Aux points de séparation</t>
  </si>
  <si>
    <t>1- Séparation des ouvrages de toute source de tension.</t>
  </si>
  <si>
    <t>2- Condamnation des appareils de sectionnement en position ouverte.</t>
  </si>
  <si>
    <t xml:space="preserve">Sur le lieu de travail </t>
  </si>
  <si>
    <t>3- Identification des ouvrages retirés de l'exploitation.</t>
  </si>
  <si>
    <t>4- Vérification d'absence de tension suivie de la pose des DMT &amp; CC sur les trois phases des ouvrages objets des travaux.</t>
  </si>
  <si>
    <t xml:space="preserve">   * A la diligence du Chargé de consignation</t>
  </si>
  <si>
    <t>_Effectuer les manœuvres de consignation</t>
  </si>
  <si>
    <t>_Vérifier la perche à néon après chaque test d'absence de tension</t>
  </si>
  <si>
    <t>_Vérifier l'absence de tension en amont et en aval de l'installation consignée et dans la zone de travail</t>
  </si>
  <si>
    <t>_Poser les DMT et en CC au Chantier</t>
  </si>
  <si>
    <t xml:space="preserve"> * A la diligence du Chargé de Travaux.</t>
  </si>
  <si>
    <t xml:space="preserve">_Baliser la zone de travail </t>
  </si>
  <si>
    <t>_Veiller au port des EPI par tous les agents au chantier</t>
  </si>
  <si>
    <t>_Veiller au respect des normes de sécurité</t>
  </si>
  <si>
    <t>_Verifier l'absence de tension avant le début des travaux</t>
  </si>
  <si>
    <t xml:space="preserve">    * Les chargés de travaux prendront toutes autres dispositions nécessaires, pour assurer la sécurité de leur personnel pendant les travaux et veiller au non accès dans la zone de travail par des personnes non autorisées.</t>
  </si>
  <si>
    <t>SONATREL</t>
  </si>
  <si>
    <t>Chargé de consignation</t>
  </si>
  <si>
    <t xml:space="preserve">Chargé de conduite </t>
  </si>
  <si>
    <t xml:space="preserve">Chef de quart </t>
  </si>
  <si>
    <t>Grid - Dispatch</t>
  </si>
  <si>
    <t>Chargé des  travaux</t>
  </si>
  <si>
    <t>Coordination</t>
  </si>
  <si>
    <t>DRLSO</t>
  </si>
  <si>
    <t>Supervision travaux</t>
  </si>
  <si>
    <t>01H</t>
  </si>
  <si>
    <t>MVOGO AMOUGOU Guillaume Flaubert</t>
  </si>
  <si>
    <t>690 17 42 01</t>
  </si>
  <si>
    <t>Chargé de manœuvres</t>
  </si>
  <si>
    <t>Installations/ouvrages à retirer de la conduite du réseau :</t>
  </si>
  <si>
    <t>KOUATCHA Cédric</t>
  </si>
  <si>
    <t>07H00</t>
  </si>
  <si>
    <t>07H30</t>
  </si>
  <si>
    <t>12H30</t>
  </si>
  <si>
    <t>13H00</t>
  </si>
  <si>
    <t>Chantier 2</t>
  </si>
  <si>
    <t>ZOA Michel</t>
  </si>
  <si>
    <t>N°05052026_3</t>
  </si>
  <si>
    <t>DTR- N°05052026_3</t>
  </si>
  <si>
    <t>Contrôles Généraux des protections et automatismes des travées
Mise à jour des sélectivités des travées</t>
  </si>
  <si>
    <t>* Contrôle des pressions de gaz SF6 sur les densistats des compartiments des blocs Hexa
* Resserrage des nourrices sur chaque compartiment</t>
  </si>
  <si>
    <t>EKONDE Thompson</t>
  </si>
  <si>
    <t>NGAH OLINGA Tatiana</t>
  </si>
  <si>
    <t>Chef de Poste KOUMASSI</t>
  </si>
  <si>
    <t>SEPPO ETAME Jacques</t>
  </si>
  <si>
    <t>PAGBE III Joseph</t>
  </si>
  <si>
    <t>SOUS-DIRECTION CONDUITE EN TEMPS REEL</t>
  </si>
  <si>
    <t>NOTE D'ARRET POUR TRAVAUX</t>
  </si>
  <si>
    <t>Numéro Note d'Arrêt</t>
  </si>
  <si>
    <t>Date D'émission NAPT :</t>
  </si>
  <si>
    <t>Le Sous Directeur Conduite en Temps Réel</t>
  </si>
  <si>
    <t>Patrick EBANA</t>
  </si>
  <si>
    <t>Consignation :</t>
  </si>
  <si>
    <t>Réalisation travaux :</t>
  </si>
  <si>
    <t>Déconsignation :</t>
  </si>
  <si>
    <t>TOTAL :</t>
  </si>
  <si>
    <t>09052026_03</t>
  </si>
  <si>
    <t>Chantier 3</t>
  </si>
  <si>
    <t>Contrôle général des transformateurs 90/15kV 50MVA N°1 et N°2</t>
  </si>
  <si>
    <t>NOUFOUA Ernest</t>
  </si>
  <si>
    <t>DMRT</t>
  </si>
  <si>
    <t>WATKEU Jérôme</t>
  </si>
  <si>
    <t>BALLA Callixte</t>
  </si>
  <si>
    <t>1- POSTE KOUMASSI: JdB 90kV</t>
  </si>
  <si>
    <r>
      <t xml:space="preserve">Le retrait du JdB 90 kV entraînera l' indisponibilité des points de connexion AT 15 kV N°1 &amp; N°2 au poste de KOUMASSI. Selon ses possibilités, le CCR de DOUALA pourra alimenter les charges prioritaires dudit poste via le réseau public de distribution.
</t>
    </r>
    <r>
      <rPr>
        <b/>
        <sz val="12"/>
        <color rgb="FFFF0000"/>
        <rFont val="Arial"/>
        <family val="2"/>
      </rPr>
      <t>PI : 50 MW ; ENF : 330 MWh</t>
    </r>
    <r>
      <rPr>
        <sz val="12"/>
        <color rgb="FFFF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</si>
</sst>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C]d\ mmmm\ yyyy;@"/>
    <numFmt numFmtId="165" formatCode="0.0%"/>
    <numFmt numFmtId="166" formatCode="[$-F800]dddd\,\ mmmm\ dd\,\ yyyy"/>
  </numFmts>
  <fonts count="46" x14ac:knownFonts="1">
    <font>
      <sz val="11"/>
      <color rgb="FF000000"/>
      <name val="Calibri"/>
    </font>
    <font>
      <sz val="10"/>
      <name val="Arial"/>
      <family val="2"/>
    </font>
    <font>
      <b/>
      <sz val="12"/>
      <color rgb="FF333399"/>
      <name val="Arial"/>
      <family val="2"/>
    </font>
    <font>
      <sz val="10"/>
      <color rgb="FF000000"/>
      <name val="Arial"/>
      <family val="2"/>
    </font>
    <font>
      <b/>
      <sz val="12"/>
      <color rgb="FF000000"/>
      <name val="Arial"/>
      <family val="2"/>
    </font>
    <font>
      <sz val="11"/>
      <color rgb="FF000000"/>
      <name val="Arial"/>
      <family val="2"/>
    </font>
    <font>
      <sz val="8"/>
      <color rgb="FF333399"/>
      <name val="Arial"/>
      <family val="2"/>
    </font>
    <font>
      <b/>
      <sz val="8"/>
      <color rgb="FF333399"/>
      <name val="Arial"/>
      <family val="2"/>
    </font>
    <font>
      <sz val="12"/>
      <color rgb="FF333399"/>
      <name val="Arial"/>
      <family val="2"/>
    </font>
    <font>
      <sz val="12"/>
      <color rgb="FF000000"/>
      <name val="Arial"/>
      <family val="2"/>
    </font>
    <font>
      <b/>
      <sz val="12"/>
      <color rgb="FF0000FF"/>
      <name val="Arial"/>
      <family val="2"/>
    </font>
    <font>
      <b/>
      <sz val="12"/>
      <color rgb="FF3366FF"/>
      <name val="Arial"/>
      <family val="2"/>
    </font>
    <font>
      <b/>
      <sz val="12"/>
      <color rgb="FF000080"/>
      <name val="Arial"/>
      <family val="2"/>
    </font>
    <font>
      <b/>
      <i/>
      <sz val="20"/>
      <color rgb="FFFFFFFF"/>
      <name val="Arial"/>
      <family val="2"/>
    </font>
    <font>
      <b/>
      <sz val="14"/>
      <color rgb="FF333399"/>
      <name val="Arial"/>
      <family val="2"/>
    </font>
    <font>
      <sz val="14"/>
      <color rgb="FF000000"/>
      <name val="Arial"/>
      <family val="2"/>
    </font>
    <font>
      <sz val="12"/>
      <color rgb="FF3366FF"/>
      <name val="Arial"/>
      <family val="2"/>
    </font>
    <font>
      <sz val="12"/>
      <color rgb="FFFF0000"/>
      <name val="Arial"/>
      <family val="2"/>
    </font>
    <font>
      <b/>
      <sz val="10"/>
      <color rgb="FF333399"/>
      <name val="Arial"/>
      <family val="2"/>
    </font>
    <font>
      <b/>
      <i/>
      <sz val="12"/>
      <color rgb="FF333399"/>
      <name val="Arial"/>
      <family val="2"/>
    </font>
    <font>
      <sz val="10"/>
      <color rgb="FF333399"/>
      <name val="Arial"/>
      <family val="2"/>
    </font>
    <font>
      <b/>
      <sz val="10"/>
      <color rgb="FF3366FF"/>
      <name val="Arial"/>
      <family val="2"/>
    </font>
    <font>
      <sz val="14"/>
      <color rgb="FF3366FF"/>
      <name val="Arial"/>
      <family val="2"/>
    </font>
    <font>
      <b/>
      <u/>
      <sz val="16"/>
      <color rgb="FF333399"/>
      <name val="Arial"/>
      <family val="2"/>
    </font>
    <font>
      <sz val="16"/>
      <color rgb="FF3366FF"/>
      <name val="Arial"/>
      <family val="2"/>
    </font>
    <font>
      <sz val="16"/>
      <color rgb="FF000000"/>
      <name val="Arial"/>
      <family val="2"/>
    </font>
    <font>
      <b/>
      <i/>
      <u/>
      <sz val="16"/>
      <color rgb="FF993366"/>
      <name val="Arial"/>
      <family val="2"/>
    </font>
    <font>
      <sz val="16"/>
      <color rgb="FF993366"/>
      <name val="Arial"/>
      <family val="2"/>
    </font>
    <font>
      <b/>
      <u/>
      <sz val="16"/>
      <color rgb="FF993366"/>
      <name val="Arial"/>
      <family val="2"/>
    </font>
    <font>
      <i/>
      <sz val="16"/>
      <color rgb="FF993366"/>
      <name val="Arial"/>
      <family val="2"/>
    </font>
    <font>
      <b/>
      <i/>
      <sz val="16"/>
      <color rgb="FF333399"/>
      <name val="Arial"/>
      <family val="2"/>
    </font>
    <font>
      <sz val="16"/>
      <color rgb="FF333399"/>
      <name val="Arial"/>
      <family val="2"/>
    </font>
    <font>
      <b/>
      <sz val="16"/>
      <color rgb="FF800080"/>
      <name val="Arial"/>
      <family val="2"/>
    </font>
    <font>
      <b/>
      <sz val="16"/>
      <color rgb="FF333399"/>
      <name val="Arial"/>
      <family val="2"/>
    </font>
    <font>
      <b/>
      <sz val="18"/>
      <color rgb="FF000080"/>
      <name val="Arial"/>
      <family val="2"/>
    </font>
    <font>
      <b/>
      <sz val="14"/>
      <color rgb="FFFF0000"/>
      <name val="Arial"/>
      <family val="2"/>
    </font>
    <font>
      <b/>
      <sz val="16"/>
      <color rgb="FFFF00FF"/>
      <name val="Arial"/>
      <family val="2"/>
    </font>
    <font>
      <b/>
      <sz val="16"/>
      <color rgb="FFFF0000"/>
      <name val="Arial"/>
      <family val="2"/>
    </font>
    <font>
      <sz val="14"/>
      <color rgb="FF0070C0"/>
      <name val="Arial"/>
      <family val="2"/>
    </font>
    <font>
      <sz val="14"/>
      <color indexed="48"/>
      <name val="Arial"/>
      <family val="2"/>
    </font>
    <font>
      <sz val="8"/>
      <name val="Calibri"/>
      <family val="2"/>
    </font>
    <font>
      <b/>
      <i/>
      <sz val="18"/>
      <color rgb="FFFFFFFF"/>
      <name val="Arial"/>
      <family val="2"/>
    </font>
    <font>
      <sz val="11"/>
      <name val="Calibri"/>
      <family val="2"/>
    </font>
    <font>
      <sz val="14"/>
      <color theme="4"/>
      <name val="Arial"/>
      <family val="2"/>
    </font>
    <font>
      <b/>
      <sz val="12"/>
      <color rgb="FF222A35"/>
      <name val="Arial"/>
      <family val="2"/>
    </font>
    <font>
      <b/>
      <sz val="12"/>
      <color rgb="FFFF0000"/>
      <name val="Arial"/>
      <family val="2"/>
    </font>
  </fonts>
  <fills count="6">
    <fill>
      <patternFill patternType="none"/>
    </fill>
    <fill>
      <patternFill patternType="gray125"/>
    </fill>
    <fill>
      <patternFill patternType="none"/>
    </fill>
    <fill>
      <patternFill patternType="solid">
        <fgColor rgb="FFFFFFFF"/>
        <bgColor rgb="FFFFFFFF"/>
      </patternFill>
    </fill>
    <fill>
      <patternFill patternType="solid">
        <fgColor rgb="FF00FF00"/>
        <bgColor rgb="FFFFFFFF"/>
      </patternFill>
    </fill>
    <fill>
      <patternFill patternType="solid">
        <fgColor rgb="FF33CCFF"/>
        <bgColor rgb="FFFFFFFF"/>
      </patternFill>
    </fill>
  </fills>
  <borders count="4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thin">
        <color rgb="FF000000"/>
      </top>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s>
  <cellStyleXfs count="3">
    <xf numFmtId="0" fontId="0" fillId="0" borderId="0"/>
    <xf numFmtId="0" fontId="1" fillId="2" borderId="0"/>
    <xf numFmtId="0" fontId="42" fillId="2" borderId="0">
      <alignment vertical="center"/>
    </xf>
  </cellStyleXfs>
  <cellXfs count="167">
    <xf numFmtId="0" fontId="0" fillId="2" borderId="0" xfId="0" applyFill="1"/>
    <xf numFmtId="0" fontId="3" fillId="3" borderId="0" xfId="0" applyFont="1" applyFill="1"/>
    <xf numFmtId="0" fontId="4" fillId="3" borderId="0" xfId="0" applyFont="1" applyFill="1" applyAlignment="1">
      <alignment horizontal="center"/>
    </xf>
    <xf numFmtId="0" fontId="5" fillId="2" borderId="0" xfId="0" applyFont="1" applyFill="1"/>
    <xf numFmtId="0" fontId="2" fillId="3" borderId="0" xfId="0" applyFont="1" applyFill="1" applyAlignment="1">
      <alignment horizontal="center"/>
    </xf>
    <xf numFmtId="0" fontId="6" fillId="3" borderId="0" xfId="0" applyFont="1" applyFill="1"/>
    <xf numFmtId="0" fontId="7" fillId="3" borderId="0" xfId="0" applyFont="1" applyFill="1"/>
    <xf numFmtId="49" fontId="7" fillId="3" borderId="0" xfId="0" applyNumberFormat="1" applyFont="1" applyFill="1" applyAlignment="1">
      <alignment horizontal="center"/>
    </xf>
    <xf numFmtId="0" fontId="8" fillId="3" borderId="0" xfId="0" applyFont="1" applyFill="1"/>
    <xf numFmtId="0" fontId="2" fillId="3" borderId="0" xfId="0" applyFont="1" applyFill="1"/>
    <xf numFmtId="0" fontId="9" fillId="3" borderId="0" xfId="0" applyFont="1" applyFill="1"/>
    <xf numFmtId="14" fontId="2" fillId="3" borderId="0" xfId="0" applyNumberFormat="1" applyFont="1" applyFill="1"/>
    <xf numFmtId="0" fontId="14" fillId="3" borderId="0" xfId="0" applyFont="1" applyFill="1" applyAlignment="1">
      <alignment horizontal="center" vertical="center"/>
    </xf>
    <xf numFmtId="0" fontId="15" fillId="3" borderId="0" xfId="0" applyFont="1" applyFill="1" applyAlignment="1">
      <alignment horizontal="center" vertical="center"/>
    </xf>
    <xf numFmtId="0" fontId="7" fillId="3" borderId="0" xfId="0" applyFont="1" applyFill="1" applyAlignment="1">
      <alignment horizontal="center"/>
    </xf>
    <xf numFmtId="0" fontId="2" fillId="3" borderId="1" xfId="0" applyFont="1" applyFill="1" applyBorder="1" applyAlignment="1">
      <alignment horizontal="left" vertical="center"/>
    </xf>
    <xf numFmtId="0" fontId="2" fillId="3" borderId="2" xfId="0" applyFont="1" applyFill="1" applyBorder="1" applyAlignment="1">
      <alignment horizontal="center"/>
    </xf>
    <xf numFmtId="49" fontId="2" fillId="3" borderId="2" xfId="0" applyNumberFormat="1" applyFont="1" applyFill="1" applyBorder="1"/>
    <xf numFmtId="0" fontId="9" fillId="3" borderId="3" xfId="0" applyFont="1" applyFill="1" applyBorder="1" applyAlignment="1">
      <alignment horizontal="left" vertical="center"/>
    </xf>
    <xf numFmtId="49" fontId="2" fillId="3" borderId="0" xfId="0" applyNumberFormat="1" applyFont="1" applyFill="1"/>
    <xf numFmtId="0" fontId="9" fillId="3" borderId="0" xfId="0" applyFont="1" applyFill="1" applyAlignment="1">
      <alignment horizontal="left"/>
    </xf>
    <xf numFmtId="0" fontId="9" fillId="3" borderId="4" xfId="0" applyFont="1" applyFill="1" applyBorder="1" applyAlignment="1">
      <alignment horizontal="center" vertical="center"/>
    </xf>
    <xf numFmtId="0" fontId="9" fillId="3" borderId="5" xfId="0" applyFont="1" applyFill="1" applyBorder="1" applyAlignment="1">
      <alignment horizontal="left" vertical="center"/>
    </xf>
    <xf numFmtId="0" fontId="9" fillId="3" borderId="6" xfId="0" applyFont="1" applyFill="1" applyBorder="1" applyAlignment="1">
      <alignment horizontal="left" vertical="center"/>
    </xf>
    <xf numFmtId="0" fontId="16" fillId="3" borderId="3"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3" xfId="0" applyFont="1" applyFill="1" applyBorder="1"/>
    <xf numFmtId="0" fontId="9" fillId="3" borderId="4" xfId="0" applyFont="1" applyFill="1" applyBorder="1" applyAlignment="1">
      <alignment horizontal="left" vertical="center"/>
    </xf>
    <xf numFmtId="0" fontId="9" fillId="3" borderId="7" xfId="0" applyFont="1" applyFill="1" applyBorder="1" applyAlignment="1">
      <alignment horizontal="left" vertical="center"/>
    </xf>
    <xf numFmtId="0" fontId="16" fillId="3" borderId="0" xfId="0" applyFont="1" applyFill="1" applyAlignment="1">
      <alignment horizontal="center" vertical="center"/>
    </xf>
    <xf numFmtId="0" fontId="9" fillId="3" borderId="0" xfId="0" applyFont="1" applyFill="1" applyAlignment="1">
      <alignment horizontal="center" vertical="center"/>
    </xf>
    <xf numFmtId="0" fontId="9" fillId="3" borderId="0" xfId="0" applyFont="1" applyFill="1" applyAlignment="1">
      <alignment horizontal="left" vertical="center"/>
    </xf>
    <xf numFmtId="49" fontId="2" fillId="3" borderId="8" xfId="0" applyNumberFormat="1" applyFont="1" applyFill="1" applyBorder="1" applyAlignment="1">
      <alignment horizontal="left" vertical="center"/>
    </xf>
    <xf numFmtId="0" fontId="17" fillId="3" borderId="0" xfId="0" applyFont="1" applyFill="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left" vertical="center"/>
    </xf>
    <xf numFmtId="0" fontId="18" fillId="3" borderId="0" xfId="0" applyFont="1" applyFill="1" applyAlignment="1">
      <alignment horizontal="left" vertical="center"/>
    </xf>
    <xf numFmtId="0" fontId="19" fillId="4" borderId="0" xfId="0" applyFont="1" applyFill="1" applyAlignment="1">
      <alignment horizontal="center" vertical="top" wrapText="1"/>
    </xf>
    <xf numFmtId="0" fontId="2" fillId="3" borderId="0" xfId="0" applyFont="1" applyFill="1" applyAlignment="1">
      <alignment vertical="center"/>
    </xf>
    <xf numFmtId="0" fontId="2" fillId="3" borderId="0" xfId="0" applyFont="1" applyFill="1" applyAlignment="1">
      <alignment horizontal="left" vertical="center"/>
    </xf>
    <xf numFmtId="0" fontId="20" fillId="3" borderId="0" xfId="0" applyFont="1" applyFill="1" applyAlignment="1">
      <alignment horizontal="center"/>
    </xf>
    <xf numFmtId="0" fontId="20" fillId="3" borderId="0" xfId="0" applyFont="1" applyFill="1"/>
    <xf numFmtId="0" fontId="21" fillId="3" borderId="0" xfId="0" applyFont="1" applyFill="1"/>
    <xf numFmtId="0" fontId="18" fillId="3" borderId="0" xfId="0" applyFont="1" applyFill="1" applyAlignment="1">
      <alignment horizontal="center" vertical="center"/>
    </xf>
    <xf numFmtId="0" fontId="12" fillId="3" borderId="0" xfId="0" applyFont="1" applyFill="1" applyAlignment="1">
      <alignment wrapText="1"/>
    </xf>
    <xf numFmtId="0" fontId="2" fillId="3" borderId="3" xfId="0" applyFont="1" applyFill="1" applyBorder="1" applyAlignment="1">
      <alignment horizontal="left" vertical="center" wrapText="1"/>
    </xf>
    <xf numFmtId="0" fontId="2" fillId="3" borderId="6" xfId="0" applyFont="1" applyFill="1" applyBorder="1" applyAlignment="1">
      <alignment horizontal="left" vertical="center" wrapText="1"/>
    </xf>
    <xf numFmtId="2" fontId="5" fillId="2" borderId="0" xfId="0" applyNumberFormat="1" applyFont="1" applyFill="1"/>
    <xf numFmtId="0" fontId="23" fillId="3" borderId="0" xfId="0" applyFont="1" applyFill="1"/>
    <xf numFmtId="0" fontId="24" fillId="3" borderId="0" xfId="0" applyFont="1" applyFill="1"/>
    <xf numFmtId="0" fontId="24" fillId="3" borderId="0" xfId="0" applyFont="1" applyFill="1" applyAlignment="1">
      <alignment horizontal="left"/>
    </xf>
    <xf numFmtId="0" fontId="25" fillId="3" borderId="0" xfId="0" applyFont="1" applyFill="1"/>
    <xf numFmtId="0" fontId="26" fillId="3" borderId="0" xfId="0" applyFont="1" applyFill="1"/>
    <xf numFmtId="0" fontId="27" fillId="3" borderId="0" xfId="0" applyFont="1" applyFill="1"/>
    <xf numFmtId="0" fontId="28" fillId="3" borderId="0" xfId="0" applyFont="1" applyFill="1"/>
    <xf numFmtId="0" fontId="29" fillId="3" borderId="0" xfId="0" applyFont="1" applyFill="1" applyAlignment="1">
      <alignment vertical="center"/>
    </xf>
    <xf numFmtId="0" fontId="25" fillId="3" borderId="0" xfId="0" applyFont="1" applyFill="1" applyAlignment="1">
      <alignment vertical="top"/>
    </xf>
    <xf numFmtId="0" fontId="9" fillId="3" borderId="0" xfId="0" applyFont="1" applyFill="1" applyAlignment="1">
      <alignment vertical="top"/>
    </xf>
    <xf numFmtId="0" fontId="28" fillId="3" borderId="3" xfId="0" applyFont="1" applyFill="1" applyBorder="1"/>
    <xf numFmtId="0" fontId="29" fillId="3" borderId="3" xfId="0" applyFont="1" applyFill="1" applyBorder="1" applyAlignment="1">
      <alignment vertical="center"/>
    </xf>
    <xf numFmtId="0" fontId="25" fillId="3" borderId="3" xfId="0" applyFont="1" applyFill="1" applyBorder="1"/>
    <xf numFmtId="0" fontId="3" fillId="3" borderId="3" xfId="0" applyFont="1" applyFill="1" applyBorder="1"/>
    <xf numFmtId="0" fontId="30" fillId="3" borderId="0" xfId="0" applyFont="1" applyFill="1"/>
    <xf numFmtId="0" fontId="31" fillId="3" borderId="0" xfId="0" applyFont="1" applyFill="1"/>
    <xf numFmtId="0" fontId="32" fillId="3" borderId="0" xfId="0" applyFont="1" applyFill="1"/>
    <xf numFmtId="0" fontId="33" fillId="3" borderId="0" xfId="0" applyFont="1" applyFill="1" applyAlignment="1">
      <alignment horizontal="center" vertical="center"/>
    </xf>
    <xf numFmtId="0" fontId="32" fillId="3" borderId="0" xfId="0" applyFont="1" applyFill="1" applyAlignment="1">
      <alignment horizontal="center"/>
    </xf>
    <xf numFmtId="0" fontId="34" fillId="3" borderId="0" xfId="0" applyFont="1" applyFill="1" applyAlignment="1">
      <alignment horizontal="center"/>
    </xf>
    <xf numFmtId="0" fontId="35" fillId="3" borderId="0" xfId="0" applyFont="1" applyFill="1" applyAlignment="1">
      <alignment vertical="center"/>
    </xf>
    <xf numFmtId="0" fontId="35" fillId="3" borderId="0" xfId="0" applyFont="1" applyFill="1" applyAlignment="1">
      <alignment horizontal="center" vertical="center"/>
    </xf>
    <xf numFmtId="0" fontId="15" fillId="2" borderId="0" xfId="0" applyFont="1" applyFill="1"/>
    <xf numFmtId="0" fontId="37" fillId="3" borderId="0" xfId="0" applyFont="1" applyFill="1" applyAlignment="1">
      <alignment vertical="center"/>
    </xf>
    <xf numFmtId="0" fontId="25" fillId="2" borderId="0" xfId="0" applyFont="1" applyFill="1"/>
    <xf numFmtId="0" fontId="12" fillId="3" borderId="0" xfId="0" applyFont="1" applyFill="1" applyAlignment="1">
      <alignment vertical="center" wrapText="1"/>
    </xf>
    <xf numFmtId="0" fontId="9" fillId="3" borderId="0" xfId="0" applyFont="1" applyFill="1" applyAlignment="1">
      <alignment vertical="center"/>
    </xf>
    <xf numFmtId="0" fontId="5" fillId="2" borderId="0" xfId="0" applyFont="1" applyFill="1" applyAlignment="1">
      <alignment vertical="center"/>
    </xf>
    <xf numFmtId="0" fontId="0" fillId="0" borderId="0" xfId="0"/>
    <xf numFmtId="20" fontId="16" fillId="0" borderId="10" xfId="0" applyNumberFormat="1" applyFont="1" applyBorder="1" applyAlignment="1">
      <alignment horizontal="center" vertical="center"/>
    </xf>
    <xf numFmtId="0" fontId="2" fillId="3" borderId="8" xfId="0" applyFont="1" applyFill="1" applyBorder="1" applyAlignment="1">
      <alignment horizontal="left" vertical="center"/>
    </xf>
    <xf numFmtId="0" fontId="2" fillId="3" borderId="5" xfId="0" applyFont="1" applyFill="1" applyBorder="1" applyAlignment="1">
      <alignment horizontal="left" vertical="center"/>
    </xf>
    <xf numFmtId="0" fontId="22" fillId="3" borderId="14" xfId="0" applyFont="1" applyFill="1" applyBorder="1" applyAlignment="1">
      <alignment horizontal="center" vertical="center"/>
    </xf>
    <xf numFmtId="0" fontId="22" fillId="3" borderId="14" xfId="0" applyFont="1" applyFill="1" applyBorder="1" applyAlignment="1">
      <alignment horizontal="center" vertical="center" wrapText="1"/>
    </xf>
    <xf numFmtId="0" fontId="39" fillId="0" borderId="14" xfId="0" applyFont="1" applyBorder="1" applyAlignment="1">
      <alignment horizontal="center" vertical="center" wrapText="1"/>
    </xf>
    <xf numFmtId="0" fontId="8" fillId="3" borderId="9" xfId="0" applyFont="1" applyFill="1" applyBorder="1" applyAlignment="1">
      <alignment horizontal="center" vertical="center"/>
    </xf>
    <xf numFmtId="20" fontId="16" fillId="3" borderId="8" xfId="0" applyNumberFormat="1" applyFont="1" applyFill="1" applyBorder="1" applyAlignment="1">
      <alignment horizontal="center" vertical="center"/>
    </xf>
    <xf numFmtId="0" fontId="8" fillId="3" borderId="8" xfId="0" applyFont="1" applyFill="1" applyBorder="1" applyAlignment="1">
      <alignment horizontal="center" vertical="center"/>
    </xf>
    <xf numFmtId="0" fontId="2" fillId="3" borderId="22" xfId="0" applyFont="1" applyFill="1" applyBorder="1" applyAlignment="1">
      <alignment horizontal="center" vertical="center" wrapText="1"/>
    </xf>
    <xf numFmtId="0" fontId="2" fillId="3" borderId="23" xfId="0" applyFont="1" applyFill="1" applyBorder="1" applyAlignment="1">
      <alignment horizontal="center" vertical="center"/>
    </xf>
    <xf numFmtId="0" fontId="44" fillId="3" borderId="6" xfId="0" applyFont="1" applyFill="1" applyBorder="1" applyAlignment="1">
      <alignment horizontal="center" vertical="center"/>
    </xf>
    <xf numFmtId="3" fontId="44" fillId="3" borderId="9" xfId="0" applyNumberFormat="1" applyFont="1" applyFill="1" applyBorder="1" applyAlignment="1">
      <alignment horizontal="center" vertical="center"/>
    </xf>
    <xf numFmtId="1" fontId="45" fillId="3" borderId="24" xfId="0" applyNumberFormat="1" applyFont="1" applyFill="1" applyBorder="1" applyAlignment="1">
      <alignment horizontal="center" vertical="center"/>
    </xf>
    <xf numFmtId="165" fontId="9" fillId="3" borderId="25" xfId="0" applyNumberFormat="1" applyFont="1" applyFill="1" applyBorder="1" applyAlignment="1">
      <alignment horizontal="center" vertical="center"/>
    </xf>
    <xf numFmtId="0" fontId="44" fillId="3" borderId="11" xfId="0" applyFont="1" applyFill="1" applyBorder="1" applyAlignment="1">
      <alignment horizontal="center" vertical="center"/>
    </xf>
    <xf numFmtId="3" fontId="44" fillId="3" borderId="8" xfId="0" applyNumberFormat="1" applyFont="1" applyFill="1" applyBorder="1" applyAlignment="1">
      <alignment horizontal="center" vertical="center"/>
    </xf>
    <xf numFmtId="1" fontId="45" fillId="3" borderId="10" xfId="0" applyNumberFormat="1" applyFont="1" applyFill="1" applyBorder="1" applyAlignment="1">
      <alignment horizontal="center" vertical="center"/>
    </xf>
    <xf numFmtId="165" fontId="9" fillId="3" borderId="26" xfId="0" applyNumberFormat="1" applyFont="1" applyFill="1" applyBorder="1" applyAlignment="1">
      <alignment horizontal="center" vertical="center"/>
    </xf>
    <xf numFmtId="0" fontId="44" fillId="3" borderId="13" xfId="0" applyFont="1" applyFill="1" applyBorder="1" applyAlignment="1">
      <alignment horizontal="center" vertical="center"/>
    </xf>
    <xf numFmtId="165" fontId="9" fillId="3" borderId="27" xfId="0" applyNumberFormat="1" applyFont="1" applyFill="1" applyBorder="1" applyAlignment="1">
      <alignment horizontal="center" vertical="center"/>
    </xf>
    <xf numFmtId="166" fontId="11" fillId="3" borderId="9" xfId="0" applyNumberFormat="1" applyFont="1" applyFill="1" applyBorder="1" applyAlignment="1">
      <alignment horizontal="center" vertical="center"/>
    </xf>
    <xf numFmtId="0" fontId="2" fillId="3" borderId="32" xfId="0" applyFont="1" applyFill="1" applyBorder="1" applyAlignment="1">
      <alignment horizontal="center" vertical="center"/>
    </xf>
    <xf numFmtId="3" fontId="43" fillId="0" borderId="35" xfId="0" applyNumberFormat="1" applyFont="1" applyBorder="1" applyAlignment="1">
      <alignment horizontal="center" vertical="center"/>
    </xf>
    <xf numFmtId="0" fontId="22" fillId="3" borderId="36" xfId="0" applyFont="1" applyFill="1" applyBorder="1" applyAlignment="1">
      <alignment horizontal="center" vertical="center"/>
    </xf>
    <xf numFmtId="0" fontId="39" fillId="0" borderId="36" xfId="0" applyFont="1" applyBorder="1" applyAlignment="1">
      <alignment horizontal="center" vertical="center" wrapText="1"/>
    </xf>
    <xf numFmtId="3" fontId="43" fillId="0" borderId="37" xfId="0" applyNumberFormat="1" applyFont="1" applyBorder="1" applyAlignment="1">
      <alignment horizontal="center" vertical="center"/>
    </xf>
    <xf numFmtId="0" fontId="22" fillId="3" borderId="19" xfId="0" applyFont="1" applyFill="1" applyBorder="1" applyAlignment="1">
      <alignment horizontal="center" vertical="center"/>
    </xf>
    <xf numFmtId="0" fontId="38" fillId="0" borderId="38" xfId="0" applyFont="1" applyBorder="1" applyAlignment="1">
      <alignment horizontal="center" vertical="center"/>
    </xf>
    <xf numFmtId="0" fontId="2" fillId="3" borderId="39" xfId="0" applyFont="1" applyFill="1" applyBorder="1" applyAlignment="1">
      <alignment horizontal="center" vertical="center"/>
    </xf>
    <xf numFmtId="0" fontId="2" fillId="3" borderId="40" xfId="0" applyFont="1" applyFill="1" applyBorder="1" applyAlignment="1">
      <alignment horizontal="center" vertical="center"/>
    </xf>
    <xf numFmtId="0" fontId="2" fillId="3" borderId="41" xfId="0" applyFont="1" applyFill="1" applyBorder="1" applyAlignment="1">
      <alignment horizontal="center" vertical="center"/>
    </xf>
    <xf numFmtId="0" fontId="22" fillId="3" borderId="42" xfId="0" applyFont="1" applyFill="1" applyBorder="1" applyAlignment="1">
      <alignment horizontal="center" vertical="center"/>
    </xf>
    <xf numFmtId="0" fontId="22" fillId="3" borderId="43" xfId="0" applyFont="1" applyFill="1" applyBorder="1" applyAlignment="1">
      <alignment horizontal="center" vertical="center"/>
    </xf>
    <xf numFmtId="0" fontId="39" fillId="0" borderId="43" xfId="0" applyFont="1" applyBorder="1" applyAlignment="1">
      <alignment horizontal="center" vertical="center" wrapText="1"/>
    </xf>
    <xf numFmtId="0" fontId="22" fillId="3" borderId="44" xfId="0" applyFont="1" applyFill="1" applyBorder="1" applyAlignment="1">
      <alignment horizontal="center" vertical="center"/>
    </xf>
    <xf numFmtId="0" fontId="2" fillId="3" borderId="31" xfId="0" applyFont="1" applyFill="1" applyBorder="1" applyAlignment="1">
      <alignment horizontal="center" vertical="center"/>
    </xf>
    <xf numFmtId="0" fontId="22" fillId="3" borderId="48" xfId="0" applyFont="1" applyFill="1" applyBorder="1" applyAlignment="1">
      <alignment horizontal="center" vertical="center"/>
    </xf>
    <xf numFmtId="0" fontId="22" fillId="3" borderId="33" xfId="0" applyFont="1" applyFill="1" applyBorder="1" applyAlignment="1">
      <alignment horizontal="center" vertical="center"/>
    </xf>
    <xf numFmtId="0" fontId="38" fillId="0" borderId="34" xfId="0" applyFont="1" applyBorder="1" applyAlignment="1">
      <alignment horizontal="center" vertical="center"/>
    </xf>
    <xf numFmtId="0" fontId="17" fillId="3" borderId="0" xfId="0" quotePrefix="1" applyFont="1" applyFill="1" applyAlignment="1">
      <alignment horizontal="center" vertical="center" wrapText="1"/>
    </xf>
    <xf numFmtId="0" fontId="2" fillId="3" borderId="8" xfId="0" applyFont="1" applyFill="1" applyBorder="1" applyAlignment="1">
      <alignment horizontal="center" vertical="center" wrapText="1"/>
    </xf>
    <xf numFmtId="0" fontId="11" fillId="3" borderId="8"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1" xfId="0" applyFont="1" applyFill="1" applyBorder="1" applyAlignment="1">
      <alignment horizontal="center" vertical="center"/>
    </xf>
    <xf numFmtId="164" fontId="12" fillId="3" borderId="8" xfId="0" applyNumberFormat="1" applyFont="1" applyFill="1" applyBorder="1" applyAlignment="1">
      <alignment horizontal="center" vertical="center"/>
    </xf>
    <xf numFmtId="0" fontId="13" fillId="5" borderId="0" xfId="0" applyFont="1" applyFill="1" applyAlignment="1">
      <alignment horizontal="center" vertical="center" wrapText="1"/>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4" fillId="3" borderId="0" xfId="0" applyFont="1" applyFill="1" applyAlignment="1">
      <alignment horizontal="center" vertical="center"/>
    </xf>
    <xf numFmtId="0" fontId="2" fillId="3" borderId="0" xfId="0" applyFont="1" applyFill="1" applyAlignment="1">
      <alignment horizontal="center" vertical="center"/>
    </xf>
    <xf numFmtId="0" fontId="10" fillId="3" borderId="1" xfId="0" applyFont="1" applyFill="1" applyBorder="1" applyAlignment="1">
      <alignment horizontal="center" vertical="center"/>
    </xf>
    <xf numFmtId="0" fontId="10" fillId="3" borderId="11" xfId="0" applyFont="1" applyFill="1" applyBorder="1" applyAlignment="1">
      <alignment horizontal="center" vertical="center"/>
    </xf>
    <xf numFmtId="0" fontId="2" fillId="3" borderId="12" xfId="0" applyFont="1" applyFill="1" applyBorder="1" applyAlignment="1">
      <alignment horizontal="left" vertical="center"/>
    </xf>
    <xf numFmtId="0" fontId="9" fillId="3" borderId="13" xfId="0" applyFont="1" applyFill="1" applyBorder="1" applyAlignment="1">
      <alignment horizontal="left" vertical="center"/>
    </xf>
    <xf numFmtId="0" fontId="9" fillId="3" borderId="5" xfId="0" applyFont="1" applyFill="1" applyBorder="1" applyAlignment="1">
      <alignment horizontal="left" vertical="center"/>
    </xf>
    <xf numFmtId="0" fontId="9" fillId="3" borderId="6" xfId="0" applyFont="1" applyFill="1" applyBorder="1" applyAlignment="1">
      <alignment horizontal="left" vertical="center"/>
    </xf>
    <xf numFmtId="0" fontId="16" fillId="3" borderId="10"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8" fillId="3" borderId="5" xfId="0" applyFont="1" applyFill="1" applyBorder="1" applyAlignment="1">
      <alignment horizontal="left" vertical="center"/>
    </xf>
    <xf numFmtId="0" fontId="8" fillId="3" borderId="6" xfId="0" applyFont="1" applyFill="1" applyBorder="1" applyAlignment="1">
      <alignment horizontal="left" vertical="center"/>
    </xf>
    <xf numFmtId="0" fontId="36" fillId="3" borderId="0" xfId="0" applyFont="1" applyFill="1" applyAlignment="1">
      <alignment horizontal="left" vertical="center" wrapText="1"/>
    </xf>
    <xf numFmtId="0" fontId="2" fillId="3"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41" fillId="5" borderId="0" xfId="0" applyFont="1" applyFill="1" applyAlignment="1">
      <alignment horizontal="center" vertical="center" wrapText="1"/>
    </xf>
    <xf numFmtId="0" fontId="8" fillId="3" borderId="1" xfId="0" applyFont="1" applyFill="1" applyBorder="1" applyAlignment="1">
      <alignment horizontal="left" vertical="center"/>
    </xf>
    <xf numFmtId="0" fontId="8" fillId="3" borderId="11" xfId="0" applyFont="1" applyFill="1" applyBorder="1" applyAlignment="1">
      <alignment horizontal="left" vertical="center"/>
    </xf>
    <xf numFmtId="0" fontId="8" fillId="3" borderId="12" xfId="0" applyFont="1" applyFill="1" applyBorder="1" applyAlignment="1">
      <alignment horizontal="left" vertical="center"/>
    </xf>
    <xf numFmtId="0" fontId="8" fillId="3" borderId="18" xfId="0" applyFont="1" applyFill="1" applyBorder="1" applyAlignment="1">
      <alignment horizontal="left" vertical="center"/>
    </xf>
    <xf numFmtId="0" fontId="8" fillId="3" borderId="13" xfId="0" applyFont="1" applyFill="1" applyBorder="1" applyAlignment="1">
      <alignment horizontal="left" vertical="center"/>
    </xf>
    <xf numFmtId="0" fontId="22" fillId="3" borderId="45" xfId="0" applyFont="1" applyFill="1" applyBorder="1" applyAlignment="1">
      <alignment horizontal="center" vertical="center" wrapText="1"/>
    </xf>
    <xf numFmtId="0" fontId="22" fillId="3" borderId="46" xfId="0" applyFont="1" applyFill="1" applyBorder="1" applyAlignment="1">
      <alignment horizontal="center" vertical="center" wrapText="1"/>
    </xf>
    <xf numFmtId="0" fontId="22" fillId="3" borderId="47"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17" fillId="3" borderId="30" xfId="0" quotePrefix="1" applyFont="1" applyFill="1" applyBorder="1" applyAlignment="1">
      <alignment horizontal="center" vertical="center" wrapText="1"/>
    </xf>
    <xf numFmtId="0" fontId="17" fillId="3" borderId="28" xfId="0" quotePrefix="1" applyFont="1" applyFill="1" applyBorder="1" applyAlignment="1">
      <alignment horizontal="center" vertical="center" wrapText="1"/>
    </xf>
    <xf numFmtId="0" fontId="17" fillId="3" borderId="29" xfId="0" quotePrefix="1" applyFont="1" applyFill="1" applyBorder="1" applyAlignment="1">
      <alignment horizontal="center" vertical="center" wrapText="1"/>
    </xf>
    <xf numFmtId="0" fontId="17" fillId="3" borderId="20" xfId="0" quotePrefix="1" applyFont="1" applyFill="1" applyBorder="1" applyAlignment="1">
      <alignment horizontal="center" vertical="center" wrapText="1"/>
    </xf>
    <xf numFmtId="0" fontId="17" fillId="3" borderId="0" xfId="0" quotePrefix="1" applyFont="1" applyFill="1" applyAlignment="1">
      <alignment horizontal="center" vertical="center" wrapText="1"/>
    </xf>
    <xf numFmtId="0" fontId="17" fillId="3" borderId="15" xfId="0" quotePrefix="1" applyFont="1" applyFill="1" applyBorder="1" applyAlignment="1">
      <alignment horizontal="center" vertical="center" wrapText="1"/>
    </xf>
    <xf numFmtId="0" fontId="17" fillId="3" borderId="21" xfId="0" quotePrefix="1" applyFont="1" applyFill="1" applyBorder="1" applyAlignment="1">
      <alignment horizontal="center" vertical="center" wrapText="1"/>
    </xf>
    <xf numFmtId="0" fontId="17" fillId="3" borderId="16" xfId="0" quotePrefix="1" applyFont="1" applyFill="1" applyBorder="1" applyAlignment="1">
      <alignment horizontal="center" vertical="center" wrapText="1"/>
    </xf>
    <xf numFmtId="0" fontId="17" fillId="3" borderId="17" xfId="0" quotePrefix="1" applyFont="1" applyFill="1" applyBorder="1" applyAlignment="1">
      <alignment horizontal="center" vertical="center" wrapText="1"/>
    </xf>
  </cellXfs>
  <cellStyles count="3">
    <cellStyle name="Normal" xfId="0" builtinId="0"/>
    <cellStyle name="Normal 2 2" xfId="1" xr:uid="{00000000-0005-0000-0000-000001000000}"/>
    <cellStyle name="Normal 3 2" xfId="2" xr:uid="{00000000-0005-0000-0000-000002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943350" cy="1981200"/>
    <xdr:pic>
      <xdr:nvPicPr>
        <xdr:cNvPr id="2"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7"/>
  <sheetViews>
    <sheetView tabSelected="1" zoomScale="65" zoomScaleNormal="65" workbookViewId="0">
      <selection activeCell="A9" sqref="A9:J9"/>
    </sheetView>
  </sheetViews>
  <sheetFormatPr baseColWidth="10" defaultColWidth="9.109375" defaultRowHeight="13.8" x14ac:dyDescent="0.25"/>
  <cols>
    <col min="1" max="1" width="37.6640625" style="3" customWidth="1"/>
    <col min="2" max="2" width="37.88671875" style="3" customWidth="1"/>
    <col min="3" max="3" width="40.5546875" style="3" customWidth="1"/>
    <col min="4" max="4" width="27.44140625" style="3" customWidth="1"/>
    <col min="5" max="5" width="27.88671875" style="3" customWidth="1"/>
    <col min="6" max="6" width="25.33203125" style="3" customWidth="1"/>
    <col min="7" max="7" width="28.109375" style="3" customWidth="1"/>
    <col min="8" max="8" width="27.88671875" style="3" customWidth="1"/>
    <col min="9" max="9" width="21.109375" style="3" customWidth="1"/>
    <col min="10" max="10" width="13.5546875" style="3" customWidth="1"/>
    <col min="11" max="16384" width="9.109375" style="3"/>
  </cols>
  <sheetData>
    <row r="1" spans="1:10" ht="40.5" customHeight="1" x14ac:dyDescent="0.3">
      <c r="A1" s="1"/>
      <c r="B1" s="1"/>
      <c r="C1" s="127" t="s">
        <v>0</v>
      </c>
      <c r="D1" s="127"/>
      <c r="E1" s="127"/>
      <c r="F1" s="127"/>
      <c r="G1" s="127"/>
      <c r="H1" s="127"/>
      <c r="I1" s="2"/>
      <c r="J1" s="1"/>
    </row>
    <row r="2" spans="1:10" ht="42" customHeight="1" x14ac:dyDescent="0.3">
      <c r="A2" s="1"/>
      <c r="B2" s="1"/>
      <c r="C2" s="128" t="s">
        <v>75</v>
      </c>
      <c r="D2" s="128"/>
      <c r="E2" s="128"/>
      <c r="F2" s="128"/>
      <c r="G2" s="128"/>
      <c r="H2" s="128"/>
      <c r="I2" s="4"/>
      <c r="J2" s="1"/>
    </row>
    <row r="3" spans="1:10" ht="30" customHeight="1" x14ac:dyDescent="0.25">
      <c r="A3" s="5"/>
      <c r="B3" s="6"/>
      <c r="C3" s="5"/>
      <c r="D3" s="1"/>
      <c r="E3" s="6"/>
      <c r="F3" s="5"/>
      <c r="G3" s="1"/>
      <c r="H3" s="7"/>
      <c r="I3" s="7"/>
      <c r="J3" s="1"/>
    </row>
    <row r="4" spans="1:10" ht="27" customHeight="1" x14ac:dyDescent="0.3">
      <c r="A4" s="8"/>
      <c r="B4" s="9"/>
      <c r="C4" s="8"/>
      <c r="D4" s="10"/>
      <c r="E4" s="11"/>
      <c r="F4" s="8"/>
      <c r="G4" s="129" t="s">
        <v>77</v>
      </c>
      <c r="H4" s="130"/>
      <c r="I4" s="119" t="s">
        <v>85</v>
      </c>
      <c r="J4" s="119"/>
    </row>
    <row r="5" spans="1:10" ht="30.75" customHeight="1" x14ac:dyDescent="0.3">
      <c r="A5" s="8"/>
      <c r="B5" s="9"/>
      <c r="C5" s="8"/>
      <c r="D5" s="8"/>
      <c r="E5" s="11"/>
      <c r="F5" s="8"/>
      <c r="G5" s="120" t="s">
        <v>78</v>
      </c>
      <c r="H5" s="121"/>
      <c r="I5" s="122">
        <v>46148</v>
      </c>
      <c r="J5" s="122"/>
    </row>
    <row r="6" spans="1:10" ht="8.25" customHeight="1" x14ac:dyDescent="0.3">
      <c r="A6" s="8"/>
      <c r="B6" s="9"/>
      <c r="C6" s="8"/>
      <c r="D6" s="8"/>
      <c r="E6" s="10"/>
      <c r="F6" s="8"/>
      <c r="G6" s="8"/>
      <c r="H6" s="8"/>
      <c r="I6" s="8"/>
      <c r="J6" s="10"/>
    </row>
    <row r="7" spans="1:10" ht="8.25" customHeight="1" x14ac:dyDescent="0.25">
      <c r="A7" s="5"/>
      <c r="B7" s="5"/>
      <c r="C7" s="5"/>
      <c r="D7" s="5"/>
      <c r="E7" s="5"/>
      <c r="F7" s="5"/>
      <c r="G7" s="5"/>
      <c r="H7" s="5"/>
      <c r="I7" s="5"/>
      <c r="J7" s="1"/>
    </row>
    <row r="8" spans="1:10" ht="8.25" customHeight="1" x14ac:dyDescent="0.25">
      <c r="A8" s="5"/>
      <c r="B8" s="5"/>
      <c r="C8" s="5"/>
      <c r="D8" s="5"/>
      <c r="E8" s="5"/>
      <c r="F8" s="5"/>
      <c r="G8" s="5"/>
      <c r="H8" s="5"/>
      <c r="I8" s="5"/>
      <c r="J8" s="1"/>
    </row>
    <row r="9" spans="1:10" ht="40.5" customHeight="1" x14ac:dyDescent="0.25">
      <c r="A9" s="123" t="s">
        <v>76</v>
      </c>
      <c r="B9" s="123"/>
      <c r="C9" s="123"/>
      <c r="D9" s="123"/>
      <c r="E9" s="123"/>
      <c r="F9" s="123"/>
      <c r="G9" s="123"/>
      <c r="H9" s="123"/>
      <c r="I9" s="123"/>
      <c r="J9" s="123"/>
    </row>
    <row r="10" spans="1:10" ht="7.5" customHeight="1" x14ac:dyDescent="0.25">
      <c r="A10" s="12"/>
      <c r="B10" s="13"/>
      <c r="C10" s="13"/>
      <c r="D10" s="13"/>
      <c r="E10" s="13"/>
      <c r="F10" s="13"/>
      <c r="G10" s="13"/>
      <c r="H10" s="13"/>
      <c r="I10" s="13"/>
      <c r="J10" s="1"/>
    </row>
    <row r="11" spans="1:10" ht="7.5" customHeight="1" x14ac:dyDescent="0.25">
      <c r="A11" s="14"/>
      <c r="B11" s="14"/>
      <c r="C11" s="14"/>
      <c r="D11" s="14"/>
      <c r="E11" s="14"/>
      <c r="F11" s="14"/>
      <c r="G11" s="14"/>
      <c r="H11" s="14"/>
      <c r="I11" s="14"/>
      <c r="J11" s="1"/>
    </row>
    <row r="12" spans="1:10" ht="43.5" customHeight="1" x14ac:dyDescent="0.3">
      <c r="A12" s="15" t="s">
        <v>1</v>
      </c>
      <c r="B12" s="16"/>
      <c r="C12" s="17"/>
      <c r="D12" s="124" t="s">
        <v>52</v>
      </c>
      <c r="E12" s="125"/>
      <c r="F12" s="126"/>
      <c r="G12" s="120" t="s">
        <v>2</v>
      </c>
      <c r="H12" s="121"/>
      <c r="I12" s="122">
        <v>46147</v>
      </c>
      <c r="J12" s="122"/>
    </row>
    <row r="13" spans="1:10" ht="18" customHeight="1" x14ac:dyDescent="0.3">
      <c r="A13" s="18"/>
      <c r="B13" s="8"/>
      <c r="C13" s="19"/>
      <c r="D13" s="8"/>
      <c r="E13" s="8"/>
      <c r="F13" s="10"/>
      <c r="G13" s="20"/>
      <c r="H13" s="20"/>
      <c r="I13" s="20"/>
      <c r="J13" s="10"/>
    </row>
    <row r="14" spans="1:10" ht="21.75" customHeight="1" x14ac:dyDescent="0.25">
      <c r="A14" s="131" t="s">
        <v>3</v>
      </c>
      <c r="B14" s="132"/>
      <c r="C14" s="135" t="s">
        <v>67</v>
      </c>
      <c r="D14" s="21"/>
      <c r="E14" s="8"/>
      <c r="F14" s="10"/>
      <c r="G14" s="137" t="s">
        <v>4</v>
      </c>
      <c r="H14" s="138"/>
      <c r="I14" s="118" t="s">
        <v>55</v>
      </c>
      <c r="J14" s="118"/>
    </row>
    <row r="15" spans="1:10" ht="21.75" customHeight="1" x14ac:dyDescent="0.25">
      <c r="A15" s="133"/>
      <c r="B15" s="134"/>
      <c r="C15" s="136"/>
      <c r="D15" s="21"/>
      <c r="E15" s="10"/>
      <c r="F15" s="10"/>
      <c r="G15" s="139"/>
      <c r="H15" s="140"/>
      <c r="I15" s="118"/>
      <c r="J15" s="118"/>
    </row>
    <row r="16" spans="1:10" ht="32.25" customHeight="1" x14ac:dyDescent="0.25">
      <c r="A16" s="22"/>
      <c r="B16" s="23"/>
      <c r="C16" s="24"/>
      <c r="D16" s="25"/>
      <c r="E16" s="26"/>
      <c r="F16" s="26"/>
      <c r="G16" s="26"/>
      <c r="H16" s="26"/>
      <c r="I16" s="26"/>
      <c r="J16" s="26"/>
    </row>
    <row r="17" spans="1:10" ht="27" customHeight="1" x14ac:dyDescent="0.25">
      <c r="A17" s="27"/>
      <c r="B17" s="28"/>
      <c r="C17" s="29"/>
      <c r="D17" s="30"/>
      <c r="E17" s="10"/>
      <c r="F17" s="10"/>
      <c r="G17" s="31"/>
      <c r="H17" s="31"/>
      <c r="I17" s="31"/>
      <c r="J17" s="10"/>
    </row>
    <row r="18" spans="1:10" ht="32.25" customHeight="1" x14ac:dyDescent="0.25">
      <c r="A18" s="32" t="s">
        <v>5</v>
      </c>
      <c r="B18" s="119" t="s">
        <v>66</v>
      </c>
      <c r="C18" s="119"/>
      <c r="D18" s="33"/>
      <c r="E18" s="10"/>
      <c r="F18" s="10"/>
      <c r="G18" s="120" t="s">
        <v>6</v>
      </c>
      <c r="H18" s="121"/>
      <c r="I18" s="122">
        <v>46147</v>
      </c>
      <c r="J18" s="122"/>
    </row>
    <row r="19" spans="1:10" x14ac:dyDescent="0.25">
      <c r="A19" s="34"/>
      <c r="B19" s="34"/>
      <c r="C19" s="34"/>
      <c r="D19" s="34"/>
      <c r="E19" s="1"/>
      <c r="F19" s="1"/>
      <c r="G19" s="35"/>
      <c r="H19" s="35"/>
      <c r="I19" s="35"/>
      <c r="J19" s="1"/>
    </row>
    <row r="20" spans="1:10" x14ac:dyDescent="0.25">
      <c r="A20" s="35"/>
      <c r="B20" s="35"/>
      <c r="C20" s="34"/>
      <c r="D20" s="34"/>
      <c r="E20" s="1"/>
      <c r="F20" s="1"/>
      <c r="G20" s="35"/>
      <c r="H20" s="36"/>
      <c r="I20" s="36"/>
      <c r="J20" s="1"/>
    </row>
    <row r="21" spans="1:10" ht="24.75" customHeight="1" x14ac:dyDescent="0.25">
      <c r="A21" s="37"/>
      <c r="B21" s="37"/>
      <c r="C21" s="37"/>
      <c r="D21" s="37"/>
      <c r="E21" s="37"/>
      <c r="F21" s="37"/>
      <c r="G21" s="37"/>
      <c r="H21" s="37"/>
      <c r="I21" s="37"/>
      <c r="J21" s="37"/>
    </row>
    <row r="22" spans="1:10" s="70" customFormat="1" ht="32.25" customHeight="1" x14ac:dyDescent="0.3">
      <c r="A22" s="68" t="s">
        <v>58</v>
      </c>
      <c r="B22" s="69"/>
      <c r="C22" s="69"/>
      <c r="D22" s="68"/>
      <c r="E22" s="69"/>
      <c r="F22" s="69"/>
      <c r="G22" s="68"/>
      <c r="H22" s="68"/>
      <c r="I22" s="68"/>
      <c r="J22" s="68"/>
    </row>
    <row r="23" spans="1:10" s="72" customFormat="1" ht="33.75" customHeight="1" x14ac:dyDescent="0.35">
      <c r="A23" s="143" t="s">
        <v>92</v>
      </c>
      <c r="B23" s="143"/>
      <c r="C23" s="143"/>
      <c r="D23" s="143"/>
      <c r="E23" s="143"/>
      <c r="F23" s="143"/>
      <c r="G23" s="71"/>
      <c r="H23" s="71"/>
      <c r="I23" s="71"/>
      <c r="J23" s="71"/>
    </row>
    <row r="24" spans="1:10" ht="24.75" customHeight="1" x14ac:dyDescent="0.25">
      <c r="A24" s="38" t="s">
        <v>7</v>
      </c>
      <c r="B24" s="39"/>
      <c r="C24" s="40"/>
      <c r="D24" s="41"/>
      <c r="E24" s="40"/>
      <c r="F24" s="42"/>
      <c r="G24" s="42"/>
      <c r="H24" s="1"/>
      <c r="I24" s="1"/>
      <c r="J24" s="43"/>
    </row>
    <row r="25" spans="1:10" ht="48.75" customHeight="1" x14ac:dyDescent="0.3">
      <c r="A25" s="78" t="s">
        <v>8</v>
      </c>
      <c r="B25" s="144" t="s">
        <v>68</v>
      </c>
      <c r="C25" s="145"/>
      <c r="D25" s="145"/>
      <c r="E25" s="146"/>
      <c r="F25" s="44"/>
      <c r="G25" s="44"/>
      <c r="H25" s="10"/>
      <c r="I25" s="10"/>
      <c r="J25" s="10"/>
    </row>
    <row r="26" spans="1:10" ht="54" customHeight="1" x14ac:dyDescent="0.3">
      <c r="A26" s="78" t="s">
        <v>64</v>
      </c>
      <c r="B26" s="144" t="s">
        <v>69</v>
      </c>
      <c r="C26" s="145"/>
      <c r="D26" s="145"/>
      <c r="E26" s="146"/>
      <c r="F26" s="44"/>
      <c r="G26" s="44"/>
      <c r="H26" s="10"/>
      <c r="I26" s="10"/>
      <c r="J26" s="10"/>
    </row>
    <row r="27" spans="1:10" ht="54" customHeight="1" x14ac:dyDescent="0.3">
      <c r="A27" s="78" t="s">
        <v>86</v>
      </c>
      <c r="B27" s="144" t="s">
        <v>87</v>
      </c>
      <c r="C27" s="145"/>
      <c r="D27" s="145"/>
      <c r="E27" s="146"/>
      <c r="F27" s="44"/>
      <c r="G27" s="44"/>
      <c r="H27" s="10"/>
      <c r="I27" s="10"/>
      <c r="J27" s="10"/>
    </row>
    <row r="28" spans="1:10" ht="20.25" customHeight="1" x14ac:dyDescent="0.3">
      <c r="A28" s="79"/>
      <c r="B28" s="45"/>
      <c r="C28" s="45"/>
      <c r="D28" s="45"/>
      <c r="E28" s="46"/>
      <c r="F28" s="44"/>
      <c r="G28" s="44"/>
      <c r="H28" s="10"/>
      <c r="I28" s="10"/>
      <c r="J28" s="10"/>
    </row>
    <row r="29" spans="1:10" s="75" customFormat="1" ht="42" customHeight="1" x14ac:dyDescent="0.3">
      <c r="A29" s="141" t="s">
        <v>9</v>
      </c>
      <c r="B29" s="142"/>
      <c r="C29" s="98">
        <v>46151</v>
      </c>
      <c r="D29" s="83" t="s">
        <v>10</v>
      </c>
      <c r="E29" s="84" t="s">
        <v>60</v>
      </c>
      <c r="F29" s="73"/>
      <c r="G29" s="73"/>
      <c r="H29" s="74"/>
      <c r="I29" s="74"/>
      <c r="J29" s="74"/>
    </row>
    <row r="30" spans="1:10" s="75" customFormat="1" ht="45.75" customHeight="1" x14ac:dyDescent="0.3">
      <c r="A30" s="148" t="s">
        <v>11</v>
      </c>
      <c r="B30" s="149"/>
      <c r="C30" s="98">
        <v>46151</v>
      </c>
      <c r="D30" s="85" t="s">
        <v>10</v>
      </c>
      <c r="E30" s="84" t="s">
        <v>61</v>
      </c>
      <c r="F30" s="74"/>
      <c r="G30" s="73"/>
      <c r="H30" s="74"/>
      <c r="I30" s="74"/>
      <c r="J30" s="74"/>
    </row>
    <row r="31" spans="1:10" s="75" customFormat="1" ht="41.25" customHeight="1" x14ac:dyDescent="0.3">
      <c r="A31" s="148" t="s">
        <v>12</v>
      </c>
      <c r="B31" s="149"/>
      <c r="C31" s="98">
        <v>46151</v>
      </c>
      <c r="D31" s="85" t="s">
        <v>10</v>
      </c>
      <c r="E31" s="84" t="s">
        <v>62</v>
      </c>
      <c r="F31" s="74"/>
      <c r="G31" s="73"/>
      <c r="H31" s="74"/>
      <c r="I31" s="74"/>
      <c r="J31" s="74"/>
    </row>
    <row r="32" spans="1:10" s="75" customFormat="1" ht="51" customHeight="1" x14ac:dyDescent="0.3">
      <c r="A32" s="148" t="s">
        <v>13</v>
      </c>
      <c r="B32" s="149"/>
      <c r="C32" s="98">
        <v>46151</v>
      </c>
      <c r="D32" s="85" t="s">
        <v>10</v>
      </c>
      <c r="E32" s="84" t="s">
        <v>63</v>
      </c>
      <c r="F32" s="74"/>
      <c r="G32" s="73"/>
      <c r="H32" s="74"/>
      <c r="I32" s="74"/>
      <c r="J32" s="74"/>
    </row>
    <row r="33" spans="1:13" s="75" customFormat="1" ht="51.75" customHeight="1" thickBot="1" x14ac:dyDescent="0.35">
      <c r="A33" s="150" t="s">
        <v>14</v>
      </c>
      <c r="B33" s="151"/>
      <c r="C33" s="151"/>
      <c r="D33" s="152"/>
      <c r="E33" s="77" t="s">
        <v>54</v>
      </c>
      <c r="F33" s="74"/>
      <c r="G33" s="73"/>
      <c r="H33" s="74"/>
      <c r="I33" s="74"/>
      <c r="J33" s="74"/>
    </row>
    <row r="34" spans="1:13" ht="51" customHeight="1" thickBot="1" x14ac:dyDescent="0.3">
      <c r="A34" s="113" t="s">
        <v>15</v>
      </c>
      <c r="B34" s="108" t="s">
        <v>16</v>
      </c>
      <c r="C34" s="106" t="s">
        <v>17</v>
      </c>
      <c r="D34" s="106" t="s">
        <v>18</v>
      </c>
      <c r="E34" s="106" t="s">
        <v>19</v>
      </c>
      <c r="F34" s="107" t="s">
        <v>20</v>
      </c>
      <c r="G34" s="99" t="s">
        <v>21</v>
      </c>
      <c r="H34" s="86" t="s">
        <v>22</v>
      </c>
      <c r="I34" s="86" t="s">
        <v>23</v>
      </c>
      <c r="J34" s="87" t="s">
        <v>24</v>
      </c>
    </row>
    <row r="35" spans="1:13" ht="34.5" customHeight="1" x14ac:dyDescent="0.25">
      <c r="A35" s="155" t="s">
        <v>8</v>
      </c>
      <c r="B35" s="114" t="s">
        <v>47</v>
      </c>
      <c r="C35" s="115" t="s">
        <v>48</v>
      </c>
      <c r="D35" s="115" t="s">
        <v>49</v>
      </c>
      <c r="E35" s="115" t="s">
        <v>45</v>
      </c>
      <c r="F35" s="116" t="s">
        <v>56</v>
      </c>
      <c r="G35" s="88" t="s">
        <v>81</v>
      </c>
      <c r="H35" s="89">
        <v>0</v>
      </c>
      <c r="I35" s="90">
        <f>50*0.5</f>
        <v>25</v>
      </c>
      <c r="J35" s="91" t="e">
        <f>H35/H39</f>
        <v>#DIV/0!</v>
      </c>
    </row>
    <row r="36" spans="1:13" ht="34.5" customHeight="1" x14ac:dyDescent="0.25">
      <c r="A36" s="153"/>
      <c r="B36" s="110" t="s">
        <v>57</v>
      </c>
      <c r="C36" s="81" t="s">
        <v>72</v>
      </c>
      <c r="D36" s="82" t="s">
        <v>52</v>
      </c>
      <c r="E36" s="82" t="s">
        <v>45</v>
      </c>
      <c r="F36" s="100">
        <v>699811757</v>
      </c>
      <c r="G36" s="92" t="s">
        <v>82</v>
      </c>
      <c r="H36" s="93">
        <v>0</v>
      </c>
      <c r="I36" s="94">
        <f>50*5</f>
        <v>250</v>
      </c>
      <c r="J36" s="95" t="e">
        <f>H36/H39</f>
        <v>#DIV/0!</v>
      </c>
    </row>
    <row r="37" spans="1:13" ht="34.5" customHeight="1" x14ac:dyDescent="0.25">
      <c r="A37" s="153"/>
      <c r="B37" s="110" t="s">
        <v>46</v>
      </c>
      <c r="C37" s="81" t="s">
        <v>72</v>
      </c>
      <c r="D37" s="82" t="s">
        <v>52</v>
      </c>
      <c r="E37" s="82" t="s">
        <v>45</v>
      </c>
      <c r="F37" s="100">
        <v>699811757</v>
      </c>
      <c r="G37" s="92" t="s">
        <v>83</v>
      </c>
      <c r="H37" s="93">
        <v>0</v>
      </c>
      <c r="I37" s="94">
        <f>50*0.5</f>
        <v>25</v>
      </c>
      <c r="J37" s="95" t="e">
        <f>H37/H38</f>
        <v>#DIV/0!</v>
      </c>
      <c r="M37" s="47"/>
    </row>
    <row r="38" spans="1:13" ht="34.5" customHeight="1" thickBot="1" x14ac:dyDescent="0.3">
      <c r="A38" s="153"/>
      <c r="B38" s="110" t="s">
        <v>50</v>
      </c>
      <c r="C38" s="82" t="s">
        <v>70</v>
      </c>
      <c r="D38" s="82" t="s">
        <v>52</v>
      </c>
      <c r="E38" s="82" t="s">
        <v>45</v>
      </c>
      <c r="F38" s="100">
        <v>697661016</v>
      </c>
      <c r="G38" s="96" t="s">
        <v>84</v>
      </c>
      <c r="H38" s="94">
        <f>SUM(H34:H37)</f>
        <v>0</v>
      </c>
      <c r="I38" s="94">
        <f>SUM(I34:I37)</f>
        <v>300</v>
      </c>
      <c r="J38" s="97" t="e">
        <f>H38/H38</f>
        <v>#DIV/0!</v>
      </c>
      <c r="M38" s="47"/>
    </row>
    <row r="39" spans="1:13" s="76" customFormat="1" ht="34.5" customHeight="1" thickBot="1" x14ac:dyDescent="0.35">
      <c r="A39" s="153"/>
      <c r="B39" s="111" t="s">
        <v>25</v>
      </c>
      <c r="C39" s="82" t="s">
        <v>71</v>
      </c>
      <c r="D39" s="82" t="s">
        <v>52</v>
      </c>
      <c r="E39" s="82" t="s">
        <v>45</v>
      </c>
      <c r="F39" s="100">
        <v>695055551</v>
      </c>
      <c r="G39" s="156" t="s">
        <v>26</v>
      </c>
      <c r="H39" s="156"/>
      <c r="I39" s="156"/>
      <c r="J39" s="157"/>
    </row>
    <row r="40" spans="1:13" ht="34.5" customHeight="1" x14ac:dyDescent="0.25">
      <c r="A40" s="153"/>
      <c r="B40" s="110" t="s">
        <v>53</v>
      </c>
      <c r="C40" s="82" t="s">
        <v>59</v>
      </c>
      <c r="D40" s="82" t="s">
        <v>52</v>
      </c>
      <c r="E40" s="82" t="s">
        <v>45</v>
      </c>
      <c r="F40" s="100">
        <v>657345076</v>
      </c>
      <c r="G40" s="158" t="s">
        <v>93</v>
      </c>
      <c r="H40" s="159"/>
      <c r="I40" s="159"/>
      <c r="J40" s="160"/>
      <c r="M40" s="47"/>
    </row>
    <row r="41" spans="1:13" ht="34.5" customHeight="1" thickBot="1" x14ac:dyDescent="0.3">
      <c r="A41" s="154"/>
      <c r="B41" s="112" t="s">
        <v>51</v>
      </c>
      <c r="C41" s="102" t="s">
        <v>59</v>
      </c>
      <c r="D41" s="102" t="s">
        <v>52</v>
      </c>
      <c r="E41" s="102" t="s">
        <v>45</v>
      </c>
      <c r="F41" s="103">
        <v>657345076</v>
      </c>
      <c r="G41" s="161"/>
      <c r="H41" s="162"/>
      <c r="I41" s="162"/>
      <c r="J41" s="163"/>
      <c r="M41" s="47"/>
    </row>
    <row r="42" spans="1:13" ht="34.5" customHeight="1" x14ac:dyDescent="0.25">
      <c r="A42" s="153" t="s">
        <v>64</v>
      </c>
      <c r="B42" s="109" t="s">
        <v>47</v>
      </c>
      <c r="C42" s="104" t="s">
        <v>48</v>
      </c>
      <c r="D42" s="104" t="s">
        <v>49</v>
      </c>
      <c r="E42" s="104" t="s">
        <v>45</v>
      </c>
      <c r="F42" s="105" t="s">
        <v>56</v>
      </c>
      <c r="G42" s="161"/>
      <c r="H42" s="162"/>
      <c r="I42" s="162"/>
      <c r="J42" s="163"/>
    </row>
    <row r="43" spans="1:13" ht="34.5" customHeight="1" x14ac:dyDescent="0.25">
      <c r="A43" s="153"/>
      <c r="B43" s="110" t="s">
        <v>57</v>
      </c>
      <c r="C43" s="81" t="s">
        <v>72</v>
      </c>
      <c r="D43" s="82" t="s">
        <v>52</v>
      </c>
      <c r="E43" s="82" t="s">
        <v>45</v>
      </c>
      <c r="F43" s="100">
        <v>699811757</v>
      </c>
      <c r="G43" s="161"/>
      <c r="H43" s="162"/>
      <c r="I43" s="162"/>
      <c r="J43" s="163"/>
    </row>
    <row r="44" spans="1:13" ht="34.5" customHeight="1" x14ac:dyDescent="0.25">
      <c r="A44" s="153"/>
      <c r="B44" s="110" t="s">
        <v>46</v>
      </c>
      <c r="C44" s="81" t="s">
        <v>72</v>
      </c>
      <c r="D44" s="82" t="s">
        <v>52</v>
      </c>
      <c r="E44" s="82" t="s">
        <v>45</v>
      </c>
      <c r="F44" s="100">
        <v>699811757</v>
      </c>
      <c r="G44" s="161"/>
      <c r="H44" s="162"/>
      <c r="I44" s="162"/>
      <c r="J44" s="163"/>
      <c r="M44" s="47"/>
    </row>
    <row r="45" spans="1:13" ht="34.5" customHeight="1" x14ac:dyDescent="0.25">
      <c r="A45" s="153"/>
      <c r="B45" s="110" t="s">
        <v>50</v>
      </c>
      <c r="C45" s="82" t="s">
        <v>73</v>
      </c>
      <c r="D45" s="82" t="s">
        <v>52</v>
      </c>
      <c r="E45" s="80" t="s">
        <v>45</v>
      </c>
      <c r="F45" s="100">
        <v>657104393</v>
      </c>
      <c r="G45" s="161"/>
      <c r="H45" s="162"/>
      <c r="I45" s="162"/>
      <c r="J45" s="163"/>
      <c r="M45" s="47"/>
    </row>
    <row r="46" spans="1:13" s="76" customFormat="1" ht="34.5" customHeight="1" x14ac:dyDescent="0.3">
      <c r="A46" s="153"/>
      <c r="B46" s="111" t="s">
        <v>25</v>
      </c>
      <c r="C46" s="82" t="s">
        <v>74</v>
      </c>
      <c r="D46" s="82" t="s">
        <v>52</v>
      </c>
      <c r="E46" s="82" t="s">
        <v>45</v>
      </c>
      <c r="F46" s="100">
        <v>692351456</v>
      </c>
      <c r="G46" s="161"/>
      <c r="H46" s="162"/>
      <c r="I46" s="162"/>
      <c r="J46" s="163"/>
    </row>
    <row r="47" spans="1:13" ht="34.5" customHeight="1" x14ac:dyDescent="0.25">
      <c r="A47" s="153"/>
      <c r="B47" s="110" t="s">
        <v>53</v>
      </c>
      <c r="C47" s="82" t="s">
        <v>65</v>
      </c>
      <c r="D47" s="82" t="s">
        <v>52</v>
      </c>
      <c r="E47" s="82" t="s">
        <v>45</v>
      </c>
      <c r="F47" s="100">
        <v>699038931</v>
      </c>
      <c r="G47" s="161"/>
      <c r="H47" s="162"/>
      <c r="I47" s="162"/>
      <c r="J47" s="163"/>
      <c r="M47" s="47"/>
    </row>
    <row r="48" spans="1:13" ht="34.5" customHeight="1" thickBot="1" x14ac:dyDescent="0.3">
      <c r="A48" s="154"/>
      <c r="B48" s="112" t="s">
        <v>51</v>
      </c>
      <c r="C48" s="102" t="s">
        <v>59</v>
      </c>
      <c r="D48" s="102" t="s">
        <v>52</v>
      </c>
      <c r="E48" s="102" t="s">
        <v>45</v>
      </c>
      <c r="F48" s="103">
        <v>657345076</v>
      </c>
      <c r="G48" s="164"/>
      <c r="H48" s="165"/>
      <c r="I48" s="165"/>
      <c r="J48" s="166"/>
      <c r="M48" s="47"/>
    </row>
    <row r="49" spans="1:13" ht="34.5" customHeight="1" x14ac:dyDescent="0.25">
      <c r="A49" s="155" t="s">
        <v>86</v>
      </c>
      <c r="B49" s="115" t="s">
        <v>47</v>
      </c>
      <c r="C49" s="115" t="s">
        <v>48</v>
      </c>
      <c r="D49" s="115" t="s">
        <v>49</v>
      </c>
      <c r="E49" s="115" t="s">
        <v>45</v>
      </c>
      <c r="F49" s="116" t="s">
        <v>56</v>
      </c>
      <c r="G49" s="117"/>
      <c r="H49" s="117"/>
      <c r="I49" s="117"/>
      <c r="J49" s="117"/>
      <c r="M49" s="47"/>
    </row>
    <row r="50" spans="1:13" ht="34.5" customHeight="1" x14ac:dyDescent="0.25">
      <c r="A50" s="153"/>
      <c r="B50" s="80" t="s">
        <v>57</v>
      </c>
      <c r="C50" s="81" t="s">
        <v>72</v>
      </c>
      <c r="D50" s="82" t="s">
        <v>52</v>
      </c>
      <c r="E50" s="82" t="s">
        <v>45</v>
      </c>
      <c r="F50" s="100">
        <v>699811757</v>
      </c>
      <c r="G50" s="117"/>
      <c r="H50" s="117"/>
      <c r="I50" s="117"/>
      <c r="J50" s="117"/>
      <c r="M50" s="47"/>
    </row>
    <row r="51" spans="1:13" ht="34.5" customHeight="1" x14ac:dyDescent="0.25">
      <c r="A51" s="153"/>
      <c r="B51" s="80" t="s">
        <v>46</v>
      </c>
      <c r="C51" s="81" t="s">
        <v>72</v>
      </c>
      <c r="D51" s="82" t="s">
        <v>52</v>
      </c>
      <c r="E51" s="82" t="s">
        <v>45</v>
      </c>
      <c r="F51" s="100">
        <v>699811757</v>
      </c>
      <c r="G51" s="117"/>
      <c r="H51" s="117"/>
      <c r="I51" s="117"/>
      <c r="J51" s="117"/>
      <c r="M51" s="47"/>
    </row>
    <row r="52" spans="1:13" ht="34.5" customHeight="1" x14ac:dyDescent="0.25">
      <c r="A52" s="153"/>
      <c r="B52" s="80" t="s">
        <v>50</v>
      </c>
      <c r="C52" s="82" t="s">
        <v>88</v>
      </c>
      <c r="D52" s="82" t="s">
        <v>89</v>
      </c>
      <c r="E52" s="80" t="s">
        <v>45</v>
      </c>
      <c r="F52" s="100">
        <v>655317957</v>
      </c>
      <c r="G52" s="117"/>
      <c r="H52" s="117"/>
      <c r="I52" s="117"/>
      <c r="J52" s="117"/>
      <c r="M52" s="47"/>
    </row>
    <row r="53" spans="1:13" ht="34.5" customHeight="1" x14ac:dyDescent="0.25">
      <c r="A53" s="153"/>
      <c r="B53" s="82" t="s">
        <v>25</v>
      </c>
      <c r="C53" s="82" t="s">
        <v>90</v>
      </c>
      <c r="D53" s="82" t="s">
        <v>89</v>
      </c>
      <c r="E53" s="82" t="s">
        <v>45</v>
      </c>
      <c r="F53" s="100">
        <v>699964239</v>
      </c>
      <c r="G53" s="117"/>
      <c r="H53" s="117"/>
      <c r="I53" s="117"/>
      <c r="J53" s="117"/>
      <c r="M53" s="47"/>
    </row>
    <row r="54" spans="1:13" ht="34.5" customHeight="1" x14ac:dyDescent="0.25">
      <c r="A54" s="153"/>
      <c r="B54" s="80" t="s">
        <v>53</v>
      </c>
      <c r="C54" s="82" t="s">
        <v>91</v>
      </c>
      <c r="D54" s="82" t="s">
        <v>89</v>
      </c>
      <c r="E54" s="82" t="s">
        <v>45</v>
      </c>
      <c r="F54" s="100">
        <v>699737338</v>
      </c>
      <c r="G54" s="117"/>
      <c r="H54" s="117"/>
      <c r="I54" s="117"/>
      <c r="J54" s="117"/>
      <c r="M54" s="47"/>
    </row>
    <row r="55" spans="1:13" ht="34.5" customHeight="1" thickBot="1" x14ac:dyDescent="0.3">
      <c r="A55" s="154"/>
      <c r="B55" s="101" t="s">
        <v>51</v>
      </c>
      <c r="C55" s="102" t="s">
        <v>59</v>
      </c>
      <c r="D55" s="102" t="s">
        <v>52</v>
      </c>
      <c r="E55" s="102" t="s">
        <v>45</v>
      </c>
      <c r="F55" s="103">
        <v>657345076</v>
      </c>
      <c r="G55" s="117"/>
      <c r="H55" s="117"/>
      <c r="I55" s="117"/>
      <c r="J55" s="117"/>
      <c r="M55" s="47"/>
    </row>
    <row r="56" spans="1:13" ht="25.5" customHeight="1" x14ac:dyDescent="0.25">
      <c r="A56" s="37"/>
      <c r="B56" s="37"/>
      <c r="C56" s="37"/>
      <c r="D56" s="37"/>
      <c r="E56" s="37"/>
      <c r="F56" s="37"/>
      <c r="G56" s="37"/>
      <c r="H56" s="37"/>
      <c r="I56" s="37"/>
      <c r="J56" s="37"/>
    </row>
    <row r="57" spans="1:13" ht="20.25" customHeight="1" x14ac:dyDescent="0.4">
      <c r="A57" s="48" t="s">
        <v>27</v>
      </c>
      <c r="B57" s="49"/>
      <c r="C57" s="50"/>
      <c r="D57" s="50"/>
      <c r="E57" s="50"/>
      <c r="F57" s="51"/>
      <c r="G57" s="51"/>
      <c r="H57" s="1"/>
      <c r="I57" s="1"/>
      <c r="J57" s="1"/>
    </row>
    <row r="58" spans="1:13" ht="20.25" customHeight="1" x14ac:dyDescent="0.35">
      <c r="A58" s="52" t="s">
        <v>28</v>
      </c>
      <c r="B58" s="53"/>
      <c r="C58" s="50"/>
      <c r="D58" s="50"/>
      <c r="E58" s="50"/>
      <c r="F58" s="51"/>
      <c r="G58" s="51"/>
      <c r="H58" s="10"/>
      <c r="I58" s="10"/>
      <c r="J58" s="1"/>
    </row>
    <row r="59" spans="1:13" ht="20.25" customHeight="1" x14ac:dyDescent="0.4">
      <c r="A59" s="54"/>
      <c r="B59" s="55" t="s">
        <v>29</v>
      </c>
      <c r="C59" s="50"/>
      <c r="D59" s="50"/>
      <c r="E59" s="50"/>
      <c r="F59" s="51"/>
      <c r="G59" s="51"/>
      <c r="H59" s="10"/>
      <c r="I59" s="10"/>
      <c r="J59" s="1"/>
    </row>
    <row r="60" spans="1:13" ht="20.25" customHeight="1" x14ac:dyDescent="0.4">
      <c r="A60" s="54"/>
      <c r="B60" s="55" t="s">
        <v>30</v>
      </c>
      <c r="C60" s="50"/>
      <c r="D60" s="50"/>
      <c r="E60" s="50"/>
      <c r="F60" s="51"/>
      <c r="G60" s="56"/>
      <c r="H60" s="57"/>
      <c r="I60" s="57"/>
      <c r="J60" s="1"/>
    </row>
    <row r="61" spans="1:13" ht="20.25" customHeight="1" x14ac:dyDescent="0.35">
      <c r="A61" s="52" t="s">
        <v>31</v>
      </c>
      <c r="B61" s="55"/>
      <c r="C61" s="50"/>
      <c r="D61" s="50"/>
      <c r="E61" s="50"/>
      <c r="F61" s="51"/>
      <c r="G61" s="51"/>
      <c r="H61" s="10"/>
      <c r="I61" s="10"/>
      <c r="J61" s="1"/>
    </row>
    <row r="62" spans="1:13" ht="20.25" customHeight="1" x14ac:dyDescent="0.4">
      <c r="A62" s="54"/>
      <c r="B62" s="55" t="s">
        <v>32</v>
      </c>
      <c r="C62" s="50"/>
      <c r="D62" s="50"/>
      <c r="E62" s="50"/>
      <c r="F62" s="51"/>
      <c r="G62" s="56"/>
      <c r="H62" s="57"/>
      <c r="I62" s="57"/>
      <c r="J62" s="1"/>
    </row>
    <row r="63" spans="1:13" ht="20.25" customHeight="1" x14ac:dyDescent="0.4">
      <c r="A63" s="58"/>
      <c r="B63" s="59" t="s">
        <v>33</v>
      </c>
      <c r="C63" s="60"/>
      <c r="D63" s="60"/>
      <c r="E63" s="60"/>
      <c r="F63" s="60"/>
      <c r="G63" s="60"/>
      <c r="H63" s="61"/>
      <c r="I63" s="1"/>
      <c r="J63" s="1"/>
    </row>
    <row r="64" spans="1:13" ht="20.25" customHeight="1" x14ac:dyDescent="0.35">
      <c r="A64" s="62" t="s">
        <v>34</v>
      </c>
      <c r="B64" s="63"/>
      <c r="C64" s="51"/>
      <c r="D64" s="51"/>
      <c r="E64" s="51"/>
      <c r="F64" s="51"/>
      <c r="G64" s="51"/>
      <c r="H64" s="1"/>
      <c r="I64" s="1"/>
      <c r="J64" s="1"/>
    </row>
    <row r="65" spans="1:10" ht="20.25" customHeight="1" x14ac:dyDescent="0.35">
      <c r="A65" s="62"/>
      <c r="B65" s="63" t="s">
        <v>35</v>
      </c>
      <c r="C65" s="51"/>
      <c r="D65" s="51"/>
      <c r="E65" s="51"/>
      <c r="G65" s="51"/>
      <c r="H65" s="51"/>
      <c r="I65" s="51"/>
      <c r="J65" s="51"/>
    </row>
    <row r="66" spans="1:10" ht="20.25" customHeight="1" x14ac:dyDescent="0.35">
      <c r="A66" s="62"/>
      <c r="B66" s="63" t="s">
        <v>36</v>
      </c>
      <c r="C66" s="51"/>
      <c r="D66" s="51"/>
      <c r="E66" s="51"/>
      <c r="F66" s="51"/>
      <c r="G66" s="51"/>
      <c r="H66" s="51"/>
      <c r="I66" s="51"/>
      <c r="J66" s="51"/>
    </row>
    <row r="67" spans="1:10" ht="20.25" customHeight="1" x14ac:dyDescent="0.35">
      <c r="A67" s="62"/>
      <c r="B67" s="63" t="s">
        <v>37</v>
      </c>
      <c r="C67" s="51"/>
      <c r="D67" s="51"/>
      <c r="E67" s="51"/>
      <c r="F67" s="51"/>
      <c r="G67" s="51"/>
      <c r="H67" s="51"/>
      <c r="I67" s="51"/>
      <c r="J67" s="51"/>
    </row>
    <row r="68" spans="1:10" ht="20.25" customHeight="1" x14ac:dyDescent="0.35">
      <c r="A68" s="62"/>
      <c r="B68" s="63" t="s">
        <v>38</v>
      </c>
      <c r="C68" s="51"/>
      <c r="D68" s="51"/>
      <c r="E68" s="51"/>
      <c r="F68" s="51"/>
      <c r="G68" s="51"/>
      <c r="H68" s="51"/>
      <c r="I68" s="51"/>
      <c r="J68" s="51"/>
    </row>
    <row r="69" spans="1:10" ht="20.25" customHeight="1" x14ac:dyDescent="0.35">
      <c r="A69" s="62" t="s">
        <v>39</v>
      </c>
      <c r="B69" s="63"/>
      <c r="C69" s="51"/>
      <c r="D69" s="51"/>
      <c r="E69" s="51"/>
      <c r="F69" s="51"/>
      <c r="G69" s="51"/>
      <c r="H69" s="51"/>
      <c r="I69" s="51"/>
      <c r="J69" s="51"/>
    </row>
    <row r="70" spans="1:10" ht="20.25" customHeight="1" x14ac:dyDescent="0.35">
      <c r="A70" s="62"/>
      <c r="B70" s="63" t="s">
        <v>40</v>
      </c>
      <c r="C70" s="51"/>
      <c r="D70" s="51"/>
      <c r="E70" s="51"/>
      <c r="F70" s="51"/>
      <c r="G70" s="51"/>
      <c r="H70" s="1"/>
      <c r="I70" s="1"/>
      <c r="J70" s="1"/>
    </row>
    <row r="71" spans="1:10" ht="20.25" customHeight="1" x14ac:dyDescent="0.35">
      <c r="A71" s="62"/>
      <c r="B71" s="63" t="s">
        <v>41</v>
      </c>
      <c r="C71" s="51"/>
      <c r="D71" s="51"/>
      <c r="E71" s="51"/>
      <c r="F71" s="51"/>
      <c r="G71" s="51"/>
      <c r="H71" s="1"/>
      <c r="I71" s="1"/>
      <c r="J71" s="1"/>
    </row>
    <row r="72" spans="1:10" ht="20.25" customHeight="1" x14ac:dyDescent="0.4">
      <c r="A72" s="62"/>
      <c r="B72" s="63" t="s">
        <v>42</v>
      </c>
      <c r="C72" s="51"/>
      <c r="D72" s="51"/>
      <c r="E72" s="64"/>
      <c r="F72" s="65"/>
      <c r="G72" s="51"/>
      <c r="H72" s="1"/>
      <c r="I72" s="1"/>
      <c r="J72" s="1"/>
    </row>
    <row r="73" spans="1:10" ht="20.25" customHeight="1" x14ac:dyDescent="0.4">
      <c r="A73" s="62"/>
      <c r="B73" s="63" t="s">
        <v>43</v>
      </c>
      <c r="C73" s="63"/>
      <c r="D73" s="51"/>
      <c r="E73" s="51"/>
      <c r="F73" s="66"/>
      <c r="G73" s="51"/>
      <c r="H73" s="1"/>
      <c r="I73" s="1"/>
      <c r="J73" s="1"/>
    </row>
    <row r="74" spans="1:10" ht="59.25" customHeight="1" x14ac:dyDescent="0.25">
      <c r="A74" s="147" t="s">
        <v>44</v>
      </c>
      <c r="B74" s="147"/>
      <c r="C74" s="147"/>
      <c r="D74" s="147"/>
      <c r="E74" s="147"/>
      <c r="F74" s="147"/>
      <c r="G74" s="147"/>
      <c r="H74" s="147"/>
      <c r="I74" s="147"/>
      <c r="J74" s="147"/>
    </row>
    <row r="75" spans="1:10" ht="15.75" customHeight="1" x14ac:dyDescent="0.25">
      <c r="A75" s="1"/>
      <c r="B75" s="1"/>
      <c r="C75" s="1"/>
      <c r="D75" s="1"/>
      <c r="E75" s="1"/>
      <c r="F75" s="1"/>
      <c r="G75" s="1"/>
      <c r="H75" s="1"/>
      <c r="I75" s="1"/>
      <c r="J75" s="1"/>
    </row>
    <row r="76" spans="1:10" ht="29.25" customHeight="1" x14ac:dyDescent="0.4">
      <c r="A76" s="1"/>
      <c r="B76" s="1"/>
      <c r="C76" s="1"/>
      <c r="D76" s="67" t="s">
        <v>79</v>
      </c>
      <c r="E76" s="67"/>
      <c r="G76" s="1"/>
      <c r="H76" s="1"/>
      <c r="I76" s="1"/>
      <c r="J76" s="1"/>
    </row>
    <row r="77" spans="1:10" ht="107.25" customHeight="1" x14ac:dyDescent="0.4">
      <c r="A77" s="1"/>
      <c r="B77" s="1"/>
      <c r="C77" s="1"/>
      <c r="D77" s="67" t="s">
        <v>80</v>
      </c>
      <c r="E77" s="67"/>
      <c r="G77" s="1"/>
      <c r="H77" s="1"/>
      <c r="I77" s="1"/>
      <c r="J77" s="1"/>
    </row>
  </sheetData>
  <sheetProtection formatCells="0" formatColumns="0" formatRows="0" insertColumns="0" insertRows="0" insertHyperlinks="0" deleteColumns="0" deleteRows="0" sort="0" autoFilter="0" pivotTables="0"/>
  <mergeCells count="32">
    <mergeCell ref="A74:J74"/>
    <mergeCell ref="A30:B30"/>
    <mergeCell ref="A31:B31"/>
    <mergeCell ref="A32:B32"/>
    <mergeCell ref="A33:D33"/>
    <mergeCell ref="A42:A48"/>
    <mergeCell ref="A35:A41"/>
    <mergeCell ref="G39:J39"/>
    <mergeCell ref="G40:J48"/>
    <mergeCell ref="A49:A55"/>
    <mergeCell ref="I18:J18"/>
    <mergeCell ref="B18:C18"/>
    <mergeCell ref="A29:B29"/>
    <mergeCell ref="G18:H18"/>
    <mergeCell ref="A23:F23"/>
    <mergeCell ref="B26:E26"/>
    <mergeCell ref="B25:E25"/>
    <mergeCell ref="B27:E27"/>
    <mergeCell ref="C1:H1"/>
    <mergeCell ref="C2:H2"/>
    <mergeCell ref="G4:H4"/>
    <mergeCell ref="A14:B15"/>
    <mergeCell ref="C14:C15"/>
    <mergeCell ref="G14:H15"/>
    <mergeCell ref="I14:J15"/>
    <mergeCell ref="I4:J4"/>
    <mergeCell ref="G5:H5"/>
    <mergeCell ref="I5:J5"/>
    <mergeCell ref="A9:J9"/>
    <mergeCell ref="D12:F12"/>
    <mergeCell ref="G12:H12"/>
    <mergeCell ref="I12:J12"/>
  </mergeCells>
  <phoneticPr fontId="40" type="noConversion"/>
  <printOptions horizontalCentered="1"/>
  <pageMargins left="3.9370078740157001E-2" right="3.9370078740157001E-2" top="0.35433070866142002" bottom="0.15748031496063" header="0.31496062992126" footer="0.31496062992126"/>
  <pageSetup paperSize="9" scale="32" orientation="portrait" r:id="rId1"/>
  <colBreaks count="1" manualBreakCount="1">
    <brk id="10"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NAPT JdB90kV_POSTE KMSSI   </vt:lpstr>
      <vt:lpstr>'NAPT JdB90kV_POSTE KMSSI   '!Zone_d_impression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NAPT</dc:title>
  <dc:subject>JEU DE BARRES 90kV</dc:subject>
  <dc:creator>ONANA KOAH</dc:creator>
  <cp:keywords>DRLSO</cp:keywords>
  <dc:description/>
  <cp:lastModifiedBy>Patrick EBANA BABALA</cp:lastModifiedBy>
  <cp:lastPrinted>2022-06-29T21:32:53Z</cp:lastPrinted>
  <dcterms:created xsi:type="dcterms:W3CDTF">2016-06-14T09:32:22Z</dcterms:created>
  <dcterms:modified xsi:type="dcterms:W3CDTF">2026-05-07T09:51:21Z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2026-01-22T11:32:18Z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60621fd9-363a-41b9-855b-fbef27f26fda</vt:lpwstr>
  </property>
  <property fmtid="{D5CDD505-2E9C-101B-9397-08002B2CF9AE}" pid="7" name="MSIP_Label_defa4170-0d19-0005-0004-bc88714345d2_ActionId">
    <vt:lpwstr>b1342642-1a60-4bc9-808c-5488b38e3eee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