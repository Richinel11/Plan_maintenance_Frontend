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D:\CCR YDE\NAPT 2026\"/>
    </mc:Choice>
  </mc:AlternateContent>
  <xr:revisionPtr revIDLastSave="0" documentId="13_ncr:1_{0A72C978-2332-464C-8B56-D888B7EBF9F3}" xr6:coauthVersionLast="36" xr6:coauthVersionMax="47" xr10:uidLastSave="{00000000-0000-0000-0000-000000000000}"/>
  <bookViews>
    <workbookView xWindow="2895" yWindow="330" windowWidth="17280" windowHeight="8880" xr2:uid="{00000000-000D-0000-FFFF-FFFF00000000}"/>
  </bookViews>
  <sheets>
    <sheet name="NAPT 0248-26 EXPLT YDE OUEST" sheetId="7" r:id="rId1"/>
    <sheet name="Estimation ENFs et Thermique" sheetId="6" state="hidden" r:id="rId2"/>
  </sheets>
  <definedNames>
    <definedName name="_xlnm.Print_Area" localSheetId="0">'NAPT 0248-26 EXPLT YDE OUEST'!$A$1:$I$64</definedName>
  </definedNames>
  <calcPr calcId="191029"/>
</workbook>
</file>

<file path=xl/calcChain.xml><?xml version="1.0" encoding="utf-8"?>
<calcChain xmlns="http://schemas.openxmlformats.org/spreadsheetml/2006/main">
  <c r="D94" i="6" l="1"/>
  <c r="F94" i="6"/>
  <c r="G94" i="6"/>
  <c r="I94" i="6"/>
  <c r="J94" i="6"/>
  <c r="L94" i="6"/>
  <c r="M94" i="6"/>
  <c r="N94" i="6"/>
  <c r="P94" i="6"/>
  <c r="S94" i="6"/>
  <c r="T94" i="6"/>
  <c r="C94" i="6"/>
  <c r="Q80" i="6"/>
  <c r="O80" i="6" s="1"/>
  <c r="R80" i="6" s="1"/>
  <c r="Q81" i="6"/>
  <c r="O81" i="6" s="1"/>
  <c r="R81" i="6" s="1"/>
  <c r="Q82" i="6"/>
  <c r="O82" i="6" s="1"/>
  <c r="R82" i="6" s="1"/>
  <c r="Q83" i="6"/>
  <c r="O83" i="6" s="1"/>
  <c r="Q84" i="6"/>
  <c r="Q85" i="6"/>
  <c r="O84" i="6"/>
  <c r="O85" i="6"/>
  <c r="K79" i="6"/>
  <c r="K80" i="6"/>
  <c r="K81" i="6"/>
  <c r="K82" i="6"/>
  <c r="K83" i="6"/>
  <c r="K84" i="6"/>
  <c r="K85" i="6"/>
  <c r="E79" i="6"/>
  <c r="E80" i="6"/>
  <c r="E81" i="6"/>
  <c r="E82" i="6"/>
  <c r="E83" i="6"/>
  <c r="E84" i="6"/>
  <c r="E85" i="6"/>
  <c r="E86" i="6"/>
  <c r="E87" i="6"/>
  <c r="E88" i="6"/>
  <c r="H79" i="6"/>
  <c r="H80" i="6"/>
  <c r="H81" i="6"/>
  <c r="H82" i="6"/>
  <c r="H83" i="6"/>
  <c r="H84" i="6"/>
  <c r="H85" i="6"/>
  <c r="H86" i="6"/>
  <c r="H87" i="6"/>
  <c r="H88" i="6"/>
  <c r="R85" i="6" l="1"/>
  <c r="R84" i="6"/>
  <c r="R83" i="6"/>
  <c r="D102" i="6"/>
  <c r="F10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89" i="6"/>
  <c r="H90" i="6"/>
  <c r="H91" i="6"/>
  <c r="H22" i="6"/>
  <c r="H94" i="6" s="1"/>
  <c r="E102" i="6" l="1"/>
  <c r="Q23" i="6"/>
  <c r="O23" i="6" s="1"/>
  <c r="Q24" i="6"/>
  <c r="O24" i="6" s="1"/>
  <c r="Q25" i="6"/>
  <c r="O25" i="6" s="1"/>
  <c r="Q26" i="6"/>
  <c r="O26" i="6" s="1"/>
  <c r="Q27" i="6"/>
  <c r="O27" i="6" s="1"/>
  <c r="Q28" i="6"/>
  <c r="O28" i="6" s="1"/>
  <c r="Q29" i="6"/>
  <c r="O29" i="6" s="1"/>
  <c r="Q30" i="6"/>
  <c r="O30" i="6" s="1"/>
  <c r="Q31" i="6"/>
  <c r="O31" i="6" s="1"/>
  <c r="Q32" i="6"/>
  <c r="O32" i="6" s="1"/>
  <c r="Q33" i="6"/>
  <c r="O33" i="6" s="1"/>
  <c r="Q34" i="6"/>
  <c r="O34" i="6" s="1"/>
  <c r="Q35" i="6"/>
  <c r="O35" i="6" s="1"/>
  <c r="Q36" i="6"/>
  <c r="O36" i="6" s="1"/>
  <c r="Q37" i="6"/>
  <c r="O37" i="6" s="1"/>
  <c r="Q38" i="6"/>
  <c r="O38" i="6" s="1"/>
  <c r="Q39" i="6"/>
  <c r="O39" i="6" s="1"/>
  <c r="Q40" i="6"/>
  <c r="O40" i="6" s="1"/>
  <c r="Q41" i="6"/>
  <c r="O41" i="6" s="1"/>
  <c r="Q42" i="6"/>
  <c r="O42" i="6" s="1"/>
  <c r="Q43" i="6"/>
  <c r="O43" i="6" s="1"/>
  <c r="Q44" i="6"/>
  <c r="O44" i="6" s="1"/>
  <c r="Q45" i="6"/>
  <c r="O45" i="6" s="1"/>
  <c r="Q46" i="6"/>
  <c r="O46" i="6" s="1"/>
  <c r="Q47" i="6"/>
  <c r="O47" i="6" s="1"/>
  <c r="Q48" i="6"/>
  <c r="O48" i="6" s="1"/>
  <c r="Q49" i="6"/>
  <c r="O49" i="6" s="1"/>
  <c r="Q50" i="6"/>
  <c r="O50" i="6" s="1"/>
  <c r="Q51" i="6"/>
  <c r="O51" i="6" s="1"/>
  <c r="Q52" i="6"/>
  <c r="O52" i="6" s="1"/>
  <c r="Q53" i="6"/>
  <c r="O53" i="6" s="1"/>
  <c r="Q54" i="6"/>
  <c r="O54" i="6" s="1"/>
  <c r="Q55" i="6"/>
  <c r="O55" i="6" s="1"/>
  <c r="Q56" i="6"/>
  <c r="O56" i="6" s="1"/>
  <c r="Q57" i="6"/>
  <c r="O57" i="6" s="1"/>
  <c r="Q58" i="6"/>
  <c r="O58" i="6" s="1"/>
  <c r="Q59" i="6"/>
  <c r="O59" i="6" s="1"/>
  <c r="Q60" i="6"/>
  <c r="O60" i="6" s="1"/>
  <c r="Q61" i="6"/>
  <c r="O61" i="6" s="1"/>
  <c r="Q62" i="6"/>
  <c r="O62" i="6" s="1"/>
  <c r="Q63" i="6"/>
  <c r="O63" i="6" s="1"/>
  <c r="Q64" i="6"/>
  <c r="O64" i="6" s="1"/>
  <c r="Q65" i="6"/>
  <c r="O65" i="6" s="1"/>
  <c r="Q66" i="6"/>
  <c r="O66" i="6" s="1"/>
  <c r="Q67" i="6"/>
  <c r="O67" i="6" s="1"/>
  <c r="Q68" i="6"/>
  <c r="O68" i="6" s="1"/>
  <c r="Q69" i="6"/>
  <c r="O69" i="6" s="1"/>
  <c r="Q70" i="6"/>
  <c r="O70" i="6" s="1"/>
  <c r="Q71" i="6"/>
  <c r="O71" i="6" s="1"/>
  <c r="Q72" i="6"/>
  <c r="O72" i="6" s="1"/>
  <c r="Q73" i="6"/>
  <c r="O73" i="6" s="1"/>
  <c r="Q74" i="6"/>
  <c r="O74" i="6" s="1"/>
  <c r="Q75" i="6"/>
  <c r="O75" i="6" s="1"/>
  <c r="Q76" i="6"/>
  <c r="O76" i="6" s="1"/>
  <c r="Q77" i="6"/>
  <c r="O77" i="6" s="1"/>
  <c r="Q78" i="6"/>
  <c r="O78" i="6" s="1"/>
  <c r="Q79" i="6"/>
  <c r="O79" i="6" s="1"/>
  <c r="R79" i="6" s="1"/>
  <c r="Q86" i="6"/>
  <c r="O86" i="6" s="1"/>
  <c r="R86" i="6" s="1"/>
  <c r="Q87" i="6"/>
  <c r="O87" i="6" s="1"/>
  <c r="R87" i="6" s="1"/>
  <c r="Q88" i="6"/>
  <c r="O88" i="6" s="1"/>
  <c r="R88" i="6" s="1"/>
  <c r="Q89" i="6"/>
  <c r="Q90" i="6"/>
  <c r="Q91" i="6"/>
  <c r="Q22"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89" i="6"/>
  <c r="E90" i="6"/>
  <c r="E91" i="6"/>
  <c r="H96" i="6"/>
  <c r="P100" i="6"/>
  <c r="D96" i="6"/>
  <c r="D97" i="6"/>
  <c r="F6"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86" i="6"/>
  <c r="K87" i="6"/>
  <c r="K88" i="6"/>
  <c r="C96" i="6"/>
  <c r="F96" i="6"/>
  <c r="G96" i="6"/>
  <c r="I96" i="6"/>
  <c r="J96" i="6"/>
  <c r="P96" i="6"/>
  <c r="S96" i="6"/>
  <c r="C97" i="6"/>
  <c r="F97" i="6"/>
  <c r="G97" i="6"/>
  <c r="I97" i="6"/>
  <c r="J97" i="6"/>
  <c r="P97" i="6"/>
  <c r="S97" i="6"/>
  <c r="C98" i="6"/>
  <c r="F98" i="6"/>
  <c r="G98" i="6"/>
  <c r="I98" i="6"/>
  <c r="J98" i="6"/>
  <c r="P98" i="6"/>
  <c r="S98" i="6"/>
  <c r="D98" i="6"/>
  <c r="T96" i="6"/>
  <c r="T97" i="6"/>
  <c r="T98" i="6"/>
  <c r="B103" i="6"/>
  <c r="B107" i="6"/>
  <c r="H97" i="6"/>
  <c r="K98" i="6" l="1"/>
  <c r="K97" i="6"/>
  <c r="K94" i="6"/>
  <c r="R77" i="6"/>
  <c r="R73" i="6"/>
  <c r="R69" i="6"/>
  <c r="R65" i="6"/>
  <c r="R61" i="6"/>
  <c r="R57" i="6"/>
  <c r="R53" i="6"/>
  <c r="R49" i="6"/>
  <c r="R45" i="6"/>
  <c r="R41" i="6"/>
  <c r="R37" i="6"/>
  <c r="R33" i="6"/>
  <c r="R29" i="6"/>
  <c r="R25" i="6"/>
  <c r="K96" i="6"/>
  <c r="R76" i="6"/>
  <c r="R72" i="6"/>
  <c r="R68" i="6"/>
  <c r="R64" i="6"/>
  <c r="R60" i="6"/>
  <c r="R56" i="6"/>
  <c r="R52" i="6"/>
  <c r="R48" i="6"/>
  <c r="R44" i="6"/>
  <c r="R40" i="6"/>
  <c r="R36" i="6"/>
  <c r="R32" i="6"/>
  <c r="R28" i="6"/>
  <c r="R24" i="6"/>
  <c r="E94" i="6"/>
  <c r="R75" i="6"/>
  <c r="R71" i="6"/>
  <c r="R67" i="6"/>
  <c r="R63" i="6"/>
  <c r="R59" i="6"/>
  <c r="R55" i="6"/>
  <c r="R51" i="6"/>
  <c r="R47" i="6"/>
  <c r="R43" i="6"/>
  <c r="R39" i="6"/>
  <c r="R35" i="6"/>
  <c r="R31" i="6"/>
  <c r="R27" i="6"/>
  <c r="R23" i="6"/>
  <c r="Q94" i="6"/>
  <c r="O22" i="6"/>
  <c r="R78" i="6"/>
  <c r="R74" i="6"/>
  <c r="R70" i="6"/>
  <c r="R66" i="6"/>
  <c r="R62" i="6"/>
  <c r="R58" i="6"/>
  <c r="R54" i="6"/>
  <c r="R50" i="6"/>
  <c r="R46" i="6"/>
  <c r="R42" i="6"/>
  <c r="R38" i="6"/>
  <c r="R34" i="6"/>
  <c r="R30" i="6"/>
  <c r="R26" i="6"/>
  <c r="E96" i="6"/>
  <c r="E98" i="6"/>
  <c r="E97" i="6"/>
  <c r="H98" i="6"/>
  <c r="O94" i="6" l="1"/>
  <c r="R22" i="6"/>
  <c r="R94" i="6" s="1"/>
  <c r="N97" i="6"/>
  <c r="N98" i="6"/>
  <c r="N96" i="6"/>
  <c r="R98" i="6" l="1"/>
  <c r="R96" i="6"/>
  <c r="R97" i="6"/>
  <c r="C102" i="6"/>
  <c r="N100" i="6"/>
  <c r="B102" i="6" l="1"/>
  <c r="B106" i="6" l="1"/>
  <c r="E106" i="6"/>
  <c r="Q98" i="6"/>
  <c r="Q96" i="6"/>
  <c r="Q97" i="6"/>
</calcChain>
</file>

<file path=xl/sharedStrings.xml><?xml version="1.0" encoding="utf-8"?>
<sst xmlns="http://schemas.openxmlformats.org/spreadsheetml/2006/main" count="148" uniqueCount="113">
  <si>
    <t>Unité Demanderesse des travaux avec retrait d'ouvrage :</t>
  </si>
  <si>
    <t>Date réception demande travaux</t>
  </si>
  <si>
    <t>N° Demande de travaux</t>
  </si>
  <si>
    <t>Nom du demandeur:</t>
  </si>
  <si>
    <t>N° demande de retrait</t>
  </si>
  <si>
    <t xml:space="preserve">Date d'émission :   </t>
  </si>
  <si>
    <t>Consistance des travaux :</t>
  </si>
  <si>
    <t>Début de la consignation le :</t>
  </si>
  <si>
    <t>à</t>
  </si>
  <si>
    <t>Délai de restitution d'urgence</t>
  </si>
  <si>
    <t>Affectations ou Rôles</t>
  </si>
  <si>
    <t>Chantier</t>
  </si>
  <si>
    <t>Personne désignée</t>
  </si>
  <si>
    <t>Unité</t>
  </si>
  <si>
    <t>Téléphone</t>
  </si>
  <si>
    <t>Aux points de séparation</t>
  </si>
  <si>
    <t>2- Condamnation des appareils de sectionnement en position ouverte.</t>
  </si>
  <si>
    <t xml:space="preserve">Sur le lieu de travail </t>
  </si>
  <si>
    <t>3- Identification des ouvrages retirés de l'exploitation.</t>
  </si>
  <si>
    <t>4- Vérification d'absence de tension suivie de la pose des DMT &amp; CC sur les trois phases des ouvrages objets des travaux.</t>
  </si>
  <si>
    <t xml:space="preserve">   * A la diligence du Chargé de consignation</t>
  </si>
  <si>
    <t>_Effectuer les manœuvres de consignation</t>
  </si>
  <si>
    <t>_Vérifier la perche à néon après chaque test d'absence de tension</t>
  </si>
  <si>
    <t>_Vérifier l'absence de tension en amont et en aval de l'installation consignée et dans la zone de travail</t>
  </si>
  <si>
    <t>_Poser les DMT et en CC au Chantier</t>
  </si>
  <si>
    <t xml:space="preserve"> * A la diligence du Chargé de Travaux.</t>
  </si>
  <si>
    <t xml:space="preserve">_Baliser la zone de travail </t>
  </si>
  <si>
    <t>_Veiller au port des EPI par tous les agents au chantier</t>
  </si>
  <si>
    <t>_Veiller au respect des normes de sécurité</t>
  </si>
  <si>
    <t>_Verifier l'absence de tension avant le début des travaux</t>
  </si>
  <si>
    <t xml:space="preserve">    * Les chargés de travaux prendront toutes autres dispositions nécessaires, pour assurer la sécurité de leur personnel pendant les travaux et veiller au non accès dans la zone de travail par des personnes non autorisées.</t>
  </si>
  <si>
    <t>1- Séparation des ouvrages de toute source de tension.</t>
  </si>
  <si>
    <t>Numéro Note d'arrêt</t>
  </si>
  <si>
    <t>Date D'émission NAPT :</t>
  </si>
  <si>
    <t>NOTE D'ARRET POUR TRAVAUX</t>
  </si>
  <si>
    <t>MWh</t>
  </si>
  <si>
    <t>TOTAL:</t>
  </si>
  <si>
    <t>Max</t>
  </si>
  <si>
    <t>Min</t>
  </si>
  <si>
    <t>Moy</t>
  </si>
  <si>
    <t>Thermique</t>
  </si>
  <si>
    <t>environ</t>
  </si>
  <si>
    <t>F CFA/MWh</t>
  </si>
  <si>
    <t>Coût LFO :</t>
  </si>
  <si>
    <t>Délestage - manque à gagner</t>
  </si>
  <si>
    <t>Coût total</t>
  </si>
  <si>
    <t>Coût (millions de FCFA)</t>
  </si>
  <si>
    <t>Délestage - coût au régime pénalité</t>
  </si>
  <si>
    <t>Coût régime pénalité (millions de FCFA)</t>
  </si>
  <si>
    <t>millions de F CFA</t>
  </si>
  <si>
    <t>%</t>
  </si>
  <si>
    <t>Total Production</t>
  </si>
  <si>
    <t>Retour à l'exploitation le :</t>
  </si>
  <si>
    <t>Total Puissance interrompue</t>
  </si>
  <si>
    <t>Puissance interrompue</t>
  </si>
  <si>
    <t>KPP</t>
  </si>
  <si>
    <t>DPP</t>
  </si>
  <si>
    <t>Gaz Cameroun</t>
  </si>
  <si>
    <t>Coût HFO Eneo :</t>
  </si>
  <si>
    <t xml:space="preserve">Puissance interrompue </t>
  </si>
  <si>
    <t xml:space="preserve">Total Charge impactée </t>
  </si>
  <si>
    <t>Image : Charges TFOs Postes impactés</t>
  </si>
  <si>
    <t>Sollicitation supplémentaire OYO 1</t>
  </si>
  <si>
    <t>Sollicitation supplémentaire MPP</t>
  </si>
  <si>
    <t>Sollicitation supplémentaire EPP</t>
  </si>
  <si>
    <t>OYO 1</t>
  </si>
  <si>
    <t>EPP</t>
  </si>
  <si>
    <t>MPP</t>
  </si>
  <si>
    <t>PREVISION ENF</t>
  </si>
  <si>
    <t>TFO 2 [MW]</t>
  </si>
  <si>
    <t>TFO 2 [MVAr]</t>
  </si>
  <si>
    <t>TFO 1 [MW]</t>
  </si>
  <si>
    <t>TFO 1 [MVAr]</t>
  </si>
  <si>
    <t>TFO 2 [MVA]</t>
  </si>
  <si>
    <t>TFO 1 [MVA]</t>
  </si>
  <si>
    <t>Transit TFO OYO [MVA]</t>
  </si>
  <si>
    <t>DIRECTION REGIONALE YAOUNDE/ CENTRE CONDUITE RESEAU HTA/ CENTRE SUD ET EST</t>
  </si>
  <si>
    <t>Chargé
de conduite</t>
  </si>
  <si>
    <t>Chargé de travaux</t>
  </si>
  <si>
    <t>DEBUT DES TRAVAUX</t>
  </si>
  <si>
    <t>FIN DES TRAVAUX</t>
  </si>
  <si>
    <t>Repartiteur en poste</t>
  </si>
  <si>
    <t>Repartiteur</t>
  </si>
  <si>
    <t>CCR</t>
  </si>
  <si>
    <t>699008485/ 677117823</t>
  </si>
  <si>
    <t xml:space="preserve">Chantier 1 </t>
  </si>
  <si>
    <t>AGENT DRTC</t>
  </si>
  <si>
    <t>Chantier 1</t>
  </si>
  <si>
    <t xml:space="preserve">ELECTRICIEN </t>
  </si>
  <si>
    <t>END</t>
  </si>
  <si>
    <t>01H00</t>
  </si>
  <si>
    <t>Chantier 1&amp;2</t>
  </si>
  <si>
    <t xml:space="preserve">Chargé de Manœuvres </t>
  </si>
  <si>
    <t xml:space="preserve">Chargé de consignation </t>
  </si>
  <si>
    <t>Controleur des travaux</t>
  </si>
  <si>
    <t>EXPLT YDE NORD</t>
  </si>
  <si>
    <t>EXPLOITATION YDE OUEST</t>
  </si>
  <si>
    <t>EXPLT YDE OUEST</t>
  </si>
  <si>
    <t>RESPONSABLE DU CCR</t>
  </si>
  <si>
    <t>0248/2026</t>
  </si>
  <si>
    <t>MOUDJONGUE</t>
  </si>
  <si>
    <t>RESEAU HTA/BT COMPRIS: TRONCON Y2/568 - FIN RESEAU HTA SUR D113 BRGM</t>
  </si>
  <si>
    <t>AMELIORATION QUALITE DE SERVICE AVANT SOUS-PREFECTURE NKOLBISSON</t>
  </si>
  <si>
    <t>IKONI</t>
  </si>
  <si>
    <t>TALA</t>
  </si>
  <si>
    <t>GENERAL SKILLS</t>
  </si>
  <si>
    <t>MANDJEMEN</t>
  </si>
  <si>
    <t>ETUDES</t>
  </si>
  <si>
    <r>
      <rPr>
        <b/>
        <sz val="16"/>
        <color rgb="FFFF0000"/>
        <rFont val="Sansation"/>
      </rPr>
      <t xml:space="preserve">ZONES DANS LE NOIR : </t>
    </r>
    <r>
      <rPr>
        <b/>
        <sz val="14"/>
        <rFont val="Sansation"/>
      </rPr>
      <t>NKOMBASSI ET ENVIRONS</t>
    </r>
  </si>
  <si>
    <t>07H00</t>
  </si>
  <si>
    <t>07H30</t>
  </si>
  <si>
    <t>11H00</t>
  </si>
  <si>
    <t>11H30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</si>
</sst>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C]d\ mmmm\ yyyy;@"/>
    <numFmt numFmtId="165" formatCode="_-* #,##0.00\ [$€-1]_-;\-* #,##0.00\ [$€-1]_-;_-* &quot;-&quot;??\ [$€-1]_-"/>
    <numFmt numFmtId="166" formatCode="#,##0.000"/>
    <numFmt numFmtId="167" formatCode="0.0%"/>
  </numFmts>
  <fonts count="68" x14ac:knownFonts="1">
    <font>
      <sz val="10"/>
      <name val="Arial"/>
    </font>
    <font>
      <sz val="10"/>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b/>
      <sz val="11"/>
      <color indexed="8"/>
      <name val="Calibri"/>
      <family val="2"/>
    </font>
    <font>
      <sz val="8"/>
      <name val="Arial"/>
      <family val="2"/>
    </font>
    <font>
      <b/>
      <sz val="12"/>
      <name val="Arial"/>
      <family val="2"/>
    </font>
    <font>
      <sz val="10"/>
      <name val="Arial"/>
      <family val="2"/>
    </font>
    <font>
      <b/>
      <sz val="10"/>
      <name val="Arial"/>
      <family val="2"/>
    </font>
    <font>
      <b/>
      <sz val="10"/>
      <color indexed="10"/>
      <name val="Arial"/>
      <family val="2"/>
    </font>
    <font>
      <b/>
      <sz val="10"/>
      <color indexed="12"/>
      <name val="Arial"/>
      <family val="2"/>
    </font>
    <font>
      <sz val="10"/>
      <name val="Arial"/>
      <family val="2"/>
    </font>
    <font>
      <sz val="11"/>
      <color theme="1"/>
      <name val="Calibri"/>
      <family val="2"/>
      <scheme val="minor"/>
    </font>
    <font>
      <b/>
      <sz val="10"/>
      <color rgb="FF0070C0"/>
      <name val="Arial"/>
      <family val="2"/>
    </font>
    <font>
      <sz val="10"/>
      <color rgb="FF0070C0"/>
      <name val="Arial"/>
      <family val="2"/>
    </font>
    <font>
      <b/>
      <sz val="10"/>
      <color theme="9" tint="-0.499984740745262"/>
      <name val="Arial"/>
      <family val="2"/>
    </font>
    <font>
      <sz val="10"/>
      <color theme="9" tint="-0.499984740745262"/>
      <name val="Arial"/>
      <family val="2"/>
    </font>
    <font>
      <b/>
      <sz val="10"/>
      <color rgb="FFFF0000"/>
      <name val="Arial"/>
      <family val="2"/>
    </font>
    <font>
      <sz val="10"/>
      <color rgb="FFFF0000"/>
      <name val="Arial"/>
      <family val="2"/>
    </font>
    <font>
      <sz val="10"/>
      <name val="Sansation"/>
    </font>
    <font>
      <b/>
      <sz val="12"/>
      <name val="Sansation"/>
    </font>
    <font>
      <b/>
      <sz val="12"/>
      <color indexed="62"/>
      <name val="Sansation"/>
    </font>
    <font>
      <sz val="8"/>
      <color indexed="62"/>
      <name val="Sansation"/>
    </font>
    <font>
      <b/>
      <sz val="8"/>
      <color indexed="62"/>
      <name val="Sansation"/>
    </font>
    <font>
      <sz val="12"/>
      <color indexed="62"/>
      <name val="Sansation"/>
    </font>
    <font>
      <sz val="12"/>
      <name val="Sansation"/>
    </font>
    <font>
      <b/>
      <sz val="12"/>
      <color indexed="18"/>
      <name val="Sansation"/>
    </font>
    <font>
      <b/>
      <sz val="14"/>
      <color indexed="62"/>
      <name val="Sansation"/>
    </font>
    <font>
      <sz val="14"/>
      <name val="Sansation"/>
    </font>
    <font>
      <sz val="10"/>
      <color indexed="48"/>
      <name val="Sansation"/>
    </font>
    <font>
      <b/>
      <sz val="10"/>
      <color indexed="62"/>
      <name val="Sansation"/>
    </font>
    <font>
      <sz val="10"/>
      <color indexed="62"/>
      <name val="Sansation"/>
    </font>
    <font>
      <b/>
      <sz val="10"/>
      <color indexed="48"/>
      <name val="Sansation"/>
    </font>
    <font>
      <sz val="18"/>
      <color rgb="FFFF0000"/>
      <name val="Sansation"/>
    </font>
    <font>
      <b/>
      <i/>
      <u/>
      <sz val="12"/>
      <color indexed="61"/>
      <name val="Sansation"/>
    </font>
    <font>
      <sz val="10"/>
      <color indexed="61"/>
      <name val="Sansation"/>
    </font>
    <font>
      <b/>
      <u/>
      <sz val="12"/>
      <color indexed="61"/>
      <name val="Sansation"/>
    </font>
    <font>
      <i/>
      <sz val="11"/>
      <color indexed="61"/>
      <name val="Sansation"/>
    </font>
    <font>
      <i/>
      <sz val="12"/>
      <color indexed="61"/>
      <name val="Sansation"/>
    </font>
    <font>
      <b/>
      <u/>
      <sz val="10"/>
      <color indexed="61"/>
      <name val="Sansation"/>
    </font>
    <font>
      <b/>
      <i/>
      <sz val="12"/>
      <color indexed="62"/>
      <name val="Sansation"/>
    </font>
    <font>
      <b/>
      <sz val="12"/>
      <color indexed="20"/>
      <name val="Sansation"/>
    </font>
    <font>
      <b/>
      <i/>
      <sz val="20"/>
      <color theme="0"/>
      <name val="Sansation"/>
    </font>
    <font>
      <b/>
      <sz val="16"/>
      <color indexed="62"/>
      <name val="Comic Sans MS"/>
      <family val="4"/>
    </font>
    <font>
      <b/>
      <sz val="14"/>
      <color indexed="62"/>
      <name val="Arial"/>
      <family val="2"/>
    </font>
    <font>
      <b/>
      <sz val="14"/>
      <color indexed="48"/>
      <name val="Arial"/>
      <family val="2"/>
    </font>
    <font>
      <b/>
      <sz val="14"/>
      <name val="Arial"/>
      <family val="2"/>
    </font>
    <font>
      <b/>
      <sz val="14"/>
      <color indexed="10"/>
      <name val="Arial"/>
      <family val="2"/>
    </font>
    <font>
      <b/>
      <sz val="14"/>
      <color indexed="48"/>
      <name val="Comic Sans MS"/>
      <family val="4"/>
    </font>
    <font>
      <b/>
      <sz val="14"/>
      <color indexed="18"/>
      <name val="Sansation"/>
    </font>
    <font>
      <sz val="14"/>
      <color indexed="62"/>
      <name val="Sansation"/>
    </font>
    <font>
      <sz val="14"/>
      <color indexed="48"/>
      <name val="Sansation"/>
    </font>
    <font>
      <b/>
      <sz val="14"/>
      <color indexed="48"/>
      <name val="Sansation"/>
    </font>
    <font>
      <sz val="14"/>
      <color indexed="10"/>
      <name val="Sansation"/>
    </font>
    <font>
      <b/>
      <sz val="14"/>
      <name val="Sansation"/>
    </font>
    <font>
      <b/>
      <sz val="16"/>
      <name val="Sansation"/>
    </font>
    <font>
      <b/>
      <sz val="14"/>
      <color indexed="12"/>
      <name val="Sansation"/>
    </font>
    <font>
      <sz val="14"/>
      <color indexed="18"/>
      <name val="Sansation"/>
    </font>
    <font>
      <b/>
      <sz val="16"/>
      <color rgb="FF0070C0"/>
      <name val="Sansation"/>
    </font>
    <font>
      <b/>
      <sz val="12"/>
      <color theme="1"/>
      <name val="Sansation"/>
    </font>
    <font>
      <b/>
      <sz val="16"/>
      <color indexed="48"/>
      <name val="Arial"/>
      <family val="2"/>
    </font>
    <font>
      <b/>
      <sz val="16"/>
      <color indexed="62"/>
      <name val="Arial"/>
      <family val="2"/>
    </font>
    <font>
      <sz val="16"/>
      <color rgb="FFFF0000"/>
      <name val="Sansation"/>
    </font>
    <font>
      <b/>
      <sz val="16"/>
      <color rgb="FFFF0000"/>
      <name val="Sansation"/>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13"/>
        <bgColor indexed="64"/>
      </patternFill>
    </fill>
    <fill>
      <patternFill patternType="solid">
        <fgColor indexed="43"/>
        <bgColor indexed="64"/>
      </patternFill>
    </fill>
    <fill>
      <patternFill patternType="solid">
        <fgColor rgb="FFFFFF99"/>
        <bgColor indexed="64"/>
      </patternFill>
    </fill>
    <fill>
      <patternFill patternType="solid">
        <fgColor rgb="FFFFFF00"/>
        <bgColor indexed="64"/>
      </patternFill>
    </fill>
    <fill>
      <patternFill patternType="solid">
        <fgColor rgb="FF33CCFF"/>
        <bgColor indexed="64"/>
      </patternFill>
    </fill>
    <fill>
      <patternFill patternType="solid">
        <fgColor rgb="FF00FF00"/>
        <bgColor indexed="64"/>
      </patternFill>
    </fill>
    <fill>
      <patternFill patternType="solid">
        <fgColor theme="0"/>
        <bgColor indexed="64"/>
      </patternFill>
    </fill>
  </fills>
  <borders count="36">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rgb="FFABABAB"/>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diagonal/>
    </border>
    <border>
      <left style="thin">
        <color indexed="64"/>
      </left>
      <right style="double">
        <color indexed="64"/>
      </right>
      <top style="thin">
        <color indexed="64"/>
      </top>
      <bottom style="double">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style="medium">
        <color indexed="64"/>
      </left>
      <right/>
      <top/>
      <bottom/>
      <diagonal/>
    </border>
    <border>
      <left/>
      <right style="medium">
        <color indexed="64"/>
      </right>
      <top/>
      <bottom/>
      <diagonal/>
    </border>
    <border>
      <left/>
      <right/>
      <top style="thin">
        <color indexed="64"/>
      </top>
      <bottom/>
      <diagonal/>
    </border>
  </borders>
  <cellStyleXfs count="38">
    <xf numFmtId="0" fontId="0" fillId="0" borderId="0"/>
    <xf numFmtId="0" fontId="11"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0" borderId="0" applyNumberFormat="0" applyFill="0" applyBorder="0" applyAlignment="0" applyProtection="0"/>
    <xf numFmtId="0" fontId="5" fillId="20" borderId="1" applyNumberFormat="0" applyAlignment="0" applyProtection="0"/>
    <xf numFmtId="0" fontId="6" fillId="0" borderId="2" applyNumberFormat="0" applyFill="0" applyAlignment="0" applyProtection="0"/>
    <xf numFmtId="0" fontId="1" fillId="21" borderId="3" applyNumberFormat="0" applyFont="0" applyAlignment="0" applyProtection="0"/>
    <xf numFmtId="0" fontId="7" fillId="7" borderId="1" applyNumberFormat="0" applyAlignment="0" applyProtection="0"/>
    <xf numFmtId="165" fontId="1" fillId="0" borderId="0" applyFont="0" applyFill="0" applyBorder="0" applyAlignment="0" applyProtection="0"/>
    <xf numFmtId="0" fontId="11" fillId="0" borderId="0"/>
    <xf numFmtId="0" fontId="11" fillId="0" borderId="0"/>
    <xf numFmtId="0" fontId="15" fillId="0" borderId="0"/>
    <xf numFmtId="0" fontId="16" fillId="0" borderId="0"/>
    <xf numFmtId="9" fontId="1" fillId="0" borderId="0" applyFont="0" applyFill="0" applyBorder="0" applyAlignment="0" applyProtection="0"/>
    <xf numFmtId="0" fontId="8" fillId="0" borderId="4" applyNumberFormat="0" applyFill="0" applyAlignment="0" applyProtection="0"/>
  </cellStyleXfs>
  <cellXfs count="179">
    <xf numFmtId="0" fontId="0" fillId="0" borderId="0" xfId="0"/>
    <xf numFmtId="0" fontId="14" fillId="0" borderId="5" xfId="0" applyFont="1" applyBorder="1"/>
    <xf numFmtId="2" fontId="14" fillId="0" borderId="5" xfId="0" applyNumberFormat="1" applyFont="1" applyBorder="1"/>
    <xf numFmtId="0" fontId="0" fillId="0" borderId="5" xfId="0" applyBorder="1"/>
    <xf numFmtId="0" fontId="0" fillId="0" borderId="5" xfId="0" applyBorder="1" applyAlignment="1">
      <alignment horizontal="center"/>
    </xf>
    <xf numFmtId="0" fontId="12" fillId="0" borderId="5" xfId="0" applyFont="1" applyBorder="1" applyAlignment="1">
      <alignment horizontal="center" wrapText="1"/>
    </xf>
    <xf numFmtId="0" fontId="10" fillId="0" borderId="0" xfId="0" applyFont="1"/>
    <xf numFmtId="0" fontId="14" fillId="0" borderId="5" xfId="0" applyFont="1" applyBorder="1" applyAlignment="1">
      <alignment horizontal="right"/>
    </xf>
    <xf numFmtId="0" fontId="13" fillId="0" borderId="5" xfId="0" applyFont="1" applyBorder="1" applyAlignment="1">
      <alignment wrapText="1"/>
    </xf>
    <xf numFmtId="0" fontId="13" fillId="0" borderId="5" xfId="0" applyFont="1" applyBorder="1"/>
    <xf numFmtId="3" fontId="13" fillId="0" borderId="5" xfId="0" applyNumberFormat="1" applyFont="1" applyBorder="1"/>
    <xf numFmtId="0" fontId="13" fillId="0" borderId="0" xfId="0" applyFont="1"/>
    <xf numFmtId="4" fontId="0" fillId="0" borderId="5" xfId="0" applyNumberFormat="1" applyBorder="1"/>
    <xf numFmtId="0" fontId="14" fillId="0" borderId="5" xfId="0" applyFont="1" applyFill="1" applyBorder="1" applyAlignment="1">
      <alignment wrapText="1"/>
    </xf>
    <xf numFmtId="0" fontId="14" fillId="0" borderId="5" xfId="0" applyFont="1" applyBorder="1" applyAlignment="1">
      <alignment wrapText="1"/>
    </xf>
    <xf numFmtId="0" fontId="13" fillId="0" borderId="9" xfId="0" applyFont="1" applyFill="1" applyBorder="1"/>
    <xf numFmtId="0" fontId="0" fillId="0" borderId="10" xfId="0" applyBorder="1"/>
    <xf numFmtId="20" fontId="12" fillId="0" borderId="5" xfId="0" applyNumberFormat="1" applyFont="1" applyBorder="1"/>
    <xf numFmtId="3" fontId="12" fillId="0" borderId="5" xfId="0" applyNumberFormat="1" applyFont="1" applyBorder="1"/>
    <xf numFmtId="0" fontId="0" fillId="0" borderId="5" xfId="0" applyNumberFormat="1" applyBorder="1"/>
    <xf numFmtId="21" fontId="0" fillId="0" borderId="5" xfId="0" applyNumberFormat="1" applyBorder="1"/>
    <xf numFmtId="0" fontId="17" fillId="0" borderId="5" xfId="0" applyFont="1" applyBorder="1" applyAlignment="1">
      <alignment horizontal="center" wrapText="1"/>
    </xf>
    <xf numFmtId="0" fontId="18" fillId="0" borderId="5" xfId="0" applyFont="1" applyBorder="1"/>
    <xf numFmtId="0" fontId="19" fillId="0" borderId="5" xfId="0" applyFont="1" applyBorder="1" applyAlignment="1">
      <alignment horizontal="center" wrapText="1"/>
    </xf>
    <xf numFmtId="1" fontId="0" fillId="0" borderId="5" xfId="0" applyNumberFormat="1" applyBorder="1"/>
    <xf numFmtId="1" fontId="20" fillId="0" borderId="5" xfId="0" applyNumberFormat="1" applyFont="1" applyBorder="1"/>
    <xf numFmtId="3" fontId="0" fillId="0" borderId="0" xfId="0" applyNumberFormat="1"/>
    <xf numFmtId="3" fontId="14" fillId="0" borderId="5" xfId="0" applyNumberFormat="1" applyFont="1" applyBorder="1"/>
    <xf numFmtId="0" fontId="21" fillId="0" borderId="5" xfId="0" applyFont="1" applyBorder="1" applyAlignment="1">
      <alignment horizontal="center" vertical="center" wrapText="1"/>
    </xf>
    <xf numFmtId="0" fontId="22" fillId="0" borderId="0" xfId="0" applyFont="1"/>
    <xf numFmtId="0" fontId="22" fillId="0" borderId="5" xfId="0" applyFont="1" applyBorder="1"/>
    <xf numFmtId="3" fontId="21" fillId="0" borderId="5" xfId="0" applyNumberFormat="1" applyFont="1" applyBorder="1"/>
    <xf numFmtId="3" fontId="22" fillId="0" borderId="0" xfId="0" applyNumberFormat="1" applyFont="1"/>
    <xf numFmtId="166" fontId="13" fillId="0" borderId="5" xfId="0" applyNumberFormat="1" applyFont="1" applyBorder="1" applyAlignment="1">
      <alignment wrapText="1"/>
    </xf>
    <xf numFmtId="0" fontId="13" fillId="0" borderId="5" xfId="0" applyFont="1" applyBorder="1" applyAlignment="1">
      <alignment horizontal="right" wrapText="1"/>
    </xf>
    <xf numFmtId="20" fontId="0" fillId="0" borderId="0" xfId="0" applyNumberFormat="1" applyFill="1"/>
    <xf numFmtId="0" fontId="0" fillId="0" borderId="23" xfId="0" applyNumberFormat="1" applyFill="1" applyBorder="1"/>
    <xf numFmtId="0" fontId="0" fillId="0" borderId="0" xfId="0" applyFill="1"/>
    <xf numFmtId="0" fontId="0" fillId="0" borderId="0" xfId="0" applyNumberFormat="1" applyFill="1"/>
    <xf numFmtId="20" fontId="0" fillId="0" borderId="5" xfId="0" applyNumberFormat="1" applyFill="1" applyBorder="1"/>
    <xf numFmtId="0" fontId="0" fillId="0" borderId="5" xfId="0" applyNumberFormat="1" applyFill="1" applyBorder="1"/>
    <xf numFmtId="0" fontId="22" fillId="25" borderId="5" xfId="0" applyFont="1" applyFill="1" applyBorder="1"/>
    <xf numFmtId="0" fontId="11" fillId="0" borderId="5" xfId="0" applyFont="1" applyBorder="1" applyAlignment="1">
      <alignment horizontal="center"/>
    </xf>
    <xf numFmtId="0" fontId="11" fillId="0" borderId="5" xfId="0" applyFont="1" applyFill="1" applyBorder="1" applyAlignment="1">
      <alignment horizontal="center"/>
    </xf>
    <xf numFmtId="0" fontId="0" fillId="0" borderId="0" xfId="0" applyBorder="1" applyAlignment="1">
      <alignment horizontal="center"/>
    </xf>
    <xf numFmtId="0" fontId="0" fillId="0" borderId="15" xfId="0" applyBorder="1" applyAlignment="1">
      <alignment horizontal="center"/>
    </xf>
    <xf numFmtId="0" fontId="23" fillId="0" borderId="0" xfId="0" applyFont="1"/>
    <xf numFmtId="0" fontId="26" fillId="0" borderId="0" xfId="0" applyFont="1"/>
    <xf numFmtId="0" fontId="27" fillId="0" borderId="0" xfId="0" applyFont="1"/>
    <xf numFmtId="0" fontId="28" fillId="0" borderId="0" xfId="0" applyFont="1"/>
    <xf numFmtId="0" fontId="25" fillId="0" borderId="0" xfId="0" applyFont="1"/>
    <xf numFmtId="0" fontId="29" fillId="0" borderId="0" xfId="0" applyFont="1"/>
    <xf numFmtId="14" fontId="25" fillId="0" borderId="0" xfId="0" applyNumberFormat="1" applyFont="1"/>
    <xf numFmtId="0" fontId="23" fillId="0" borderId="0" xfId="0" applyFont="1" applyAlignment="1"/>
    <xf numFmtId="0" fontId="31" fillId="0" borderId="0" xfId="0" applyFont="1" applyFill="1" applyBorder="1" applyAlignment="1">
      <alignment horizontal="center" vertical="center"/>
    </xf>
    <xf numFmtId="0" fontId="32" fillId="0" borderId="0" xfId="0" applyFont="1" applyAlignment="1">
      <alignment horizontal="center" vertical="center"/>
    </xf>
    <xf numFmtId="0" fontId="27" fillId="0" borderId="0" xfId="0" applyFont="1" applyBorder="1" applyAlignment="1">
      <alignment horizontal="center"/>
    </xf>
    <xf numFmtId="0" fontId="23" fillId="0" borderId="0" xfId="0" applyFont="1" applyBorder="1" applyAlignment="1">
      <alignment horizontal="center" vertical="center"/>
    </xf>
    <xf numFmtId="0" fontId="23" fillId="0" borderId="0" xfId="0" applyFont="1" applyBorder="1"/>
    <xf numFmtId="0" fontId="23" fillId="0" borderId="0" xfId="0" applyFont="1" applyBorder="1" applyAlignment="1">
      <alignment horizontal="left" vertical="center"/>
    </xf>
    <xf numFmtId="0" fontId="34" fillId="0" borderId="0" xfId="0" applyFont="1" applyFill="1" applyBorder="1" applyAlignment="1">
      <alignment horizontal="left" vertical="center"/>
    </xf>
    <xf numFmtId="0" fontId="35" fillId="0" borderId="0" xfId="0" applyFont="1" applyAlignment="1">
      <alignment horizontal="center"/>
    </xf>
    <xf numFmtId="0" fontId="25" fillId="0" borderId="0" xfId="0" applyFont="1" applyAlignment="1">
      <alignment vertical="center"/>
    </xf>
    <xf numFmtId="0" fontId="35" fillId="0" borderId="0" xfId="0" applyFont="1"/>
    <xf numFmtId="0" fontId="36" fillId="0" borderId="0" xfId="0" applyFont="1" applyBorder="1" applyAlignment="1"/>
    <xf numFmtId="0" fontId="34" fillId="0" borderId="0" xfId="0" applyFont="1" applyAlignment="1">
      <alignment horizontal="center" vertical="center"/>
    </xf>
    <xf numFmtId="0" fontId="30" fillId="0" borderId="0" xfId="0" applyFont="1" applyBorder="1" applyAlignment="1">
      <alignment wrapText="1"/>
    </xf>
    <xf numFmtId="0" fontId="25" fillId="22" borderId="12" xfId="0" applyFont="1" applyFill="1" applyBorder="1" applyAlignment="1">
      <alignment horizontal="center" vertical="center"/>
    </xf>
    <xf numFmtId="0" fontId="24" fillId="24" borderId="19" xfId="0" applyFont="1" applyFill="1" applyBorder="1" applyAlignment="1">
      <alignment horizontal="right" vertical="center"/>
    </xf>
    <xf numFmtId="2" fontId="29" fillId="24" borderId="5" xfId="0" applyNumberFormat="1" applyFont="1" applyFill="1" applyBorder="1" applyAlignment="1">
      <alignment horizontal="center" vertical="center"/>
    </xf>
    <xf numFmtId="167" fontId="29" fillId="24" borderId="20" xfId="36" applyNumberFormat="1" applyFont="1" applyFill="1" applyBorder="1" applyAlignment="1">
      <alignment vertical="center"/>
    </xf>
    <xf numFmtId="0" fontId="26" fillId="0" borderId="0" xfId="0" applyFont="1" applyBorder="1"/>
    <xf numFmtId="0" fontId="38" fillId="0" borderId="0" xfId="0" applyFont="1"/>
    <xf numFmtId="0" fontId="39" fillId="0" borderId="0" xfId="0" applyFont="1"/>
    <xf numFmtId="0" fontId="33" fillId="0" borderId="0" xfId="0" applyFont="1" applyBorder="1" applyAlignment="1">
      <alignment horizontal="left"/>
    </xf>
    <xf numFmtId="0" fontId="40" fillId="0" borderId="0" xfId="0" applyFont="1"/>
    <xf numFmtId="0" fontId="41" fillId="0" borderId="0" xfId="0" applyFont="1" applyAlignment="1">
      <alignment vertical="center"/>
    </xf>
    <xf numFmtId="0" fontId="42" fillId="0" borderId="0" xfId="0" applyFont="1" applyFill="1" applyAlignment="1">
      <alignment vertical="center"/>
    </xf>
    <xf numFmtId="0" fontId="43" fillId="0" borderId="0" xfId="0" applyFont="1"/>
    <xf numFmtId="0" fontId="43" fillId="0" borderId="8" xfId="0" applyFont="1" applyBorder="1"/>
    <xf numFmtId="0" fontId="41" fillId="0" borderId="8" xfId="0" applyFont="1" applyBorder="1" applyAlignment="1">
      <alignment vertical="center"/>
    </xf>
    <xf numFmtId="0" fontId="23" fillId="0" borderId="8" xfId="0" applyFont="1" applyBorder="1" applyAlignment="1"/>
    <xf numFmtId="0" fontId="23" fillId="0" borderId="0" xfId="0" applyFont="1" applyBorder="1" applyAlignment="1"/>
    <xf numFmtId="0" fontId="44" fillId="0" borderId="0" xfId="0" applyFont="1"/>
    <xf numFmtId="0" fontId="29" fillId="0" borderId="0" xfId="0" applyFont="1" applyBorder="1" applyAlignment="1"/>
    <xf numFmtId="0" fontId="45" fillId="0" borderId="0" xfId="0" applyFont="1"/>
    <xf numFmtId="0" fontId="25" fillId="0" borderId="0" xfId="0" applyFont="1" applyAlignment="1">
      <alignment horizontal="center" vertical="center"/>
    </xf>
    <xf numFmtId="0" fontId="45" fillId="0" borderId="0" xfId="0" applyFont="1" applyAlignment="1">
      <alignment horizontal="center"/>
    </xf>
    <xf numFmtId="0" fontId="12" fillId="0" borderId="5" xfId="0" applyFont="1" applyFill="1" applyBorder="1" applyAlignment="1">
      <alignment horizontal="center" vertical="center" wrapText="1"/>
    </xf>
    <xf numFmtId="0" fontId="23" fillId="0" borderId="0" xfId="0" applyFont="1" applyBorder="1" applyAlignment="1"/>
    <xf numFmtId="0" fontId="25" fillId="0" borderId="0" xfId="0" applyFont="1" applyAlignment="1">
      <alignment horizontal="center"/>
    </xf>
    <xf numFmtId="0" fontId="44" fillId="27" borderId="0" xfId="0" applyFont="1" applyFill="1" applyAlignment="1">
      <alignment horizontal="center" vertical="top" wrapText="1"/>
    </xf>
    <xf numFmtId="0" fontId="48" fillId="0" borderId="31" xfId="0" applyFont="1" applyBorder="1"/>
    <xf numFmtId="0" fontId="49" fillId="0" borderId="5" xfId="0" applyFont="1" applyBorder="1" applyAlignment="1">
      <alignment horizontal="center" vertical="center" wrapText="1"/>
    </xf>
    <xf numFmtId="0" fontId="50" fillId="0" borderId="31" xfId="0" applyFont="1" applyBorder="1"/>
    <xf numFmtId="0" fontId="51" fillId="0" borderId="31" xfId="0" applyFont="1" applyFill="1" applyBorder="1" applyAlignment="1">
      <alignment horizontal="center" vertical="center" wrapText="1"/>
    </xf>
    <xf numFmtId="0" fontId="48" fillId="0" borderId="30" xfId="0" applyFont="1" applyBorder="1"/>
    <xf numFmtId="0" fontId="51" fillId="0" borderId="30" xfId="0" applyFont="1" applyFill="1" applyBorder="1" applyAlignment="1">
      <alignment horizontal="center" vertical="center" wrapText="1"/>
    </xf>
    <xf numFmtId="0" fontId="48" fillId="0" borderId="24" xfId="0" applyFont="1" applyBorder="1"/>
    <xf numFmtId="0" fontId="48" fillId="0" borderId="5" xfId="0" applyFont="1" applyBorder="1" applyAlignment="1">
      <alignment horizontal="center"/>
    </xf>
    <xf numFmtId="0" fontId="50" fillId="0" borderId="5" xfId="0" applyFont="1" applyBorder="1"/>
    <xf numFmtId="0" fontId="50" fillId="0" borderId="25" xfId="0" applyFont="1" applyBorder="1"/>
    <xf numFmtId="0" fontId="48" fillId="0" borderId="24" xfId="0" applyFont="1" applyBorder="1" applyAlignment="1">
      <alignment horizontal="left"/>
    </xf>
    <xf numFmtId="0" fontId="48" fillId="0" borderId="25" xfId="0" applyFont="1" applyBorder="1" applyAlignment="1">
      <alignment horizontal="left"/>
    </xf>
    <xf numFmtId="0" fontId="49" fillId="0" borderId="24" xfId="0" applyFont="1" applyBorder="1" applyAlignment="1">
      <alignment horizontal="center" vertical="center" wrapText="1"/>
    </xf>
    <xf numFmtId="0" fontId="52" fillId="0" borderId="9" xfId="32" applyFont="1" applyBorder="1" applyAlignment="1">
      <alignment horizontal="center" vertical="center" wrapText="1"/>
    </xf>
    <xf numFmtId="0" fontId="52" fillId="0" borderId="5" xfId="32" applyFont="1" applyBorder="1" applyAlignment="1">
      <alignment horizontal="center" vertical="center" wrapText="1"/>
    </xf>
    <xf numFmtId="3" fontId="52" fillId="0" borderId="32" xfId="32" applyNumberFormat="1" applyFont="1" applyFill="1" applyBorder="1" applyAlignment="1">
      <alignment horizontal="center" vertical="center" wrapText="1"/>
    </xf>
    <xf numFmtId="3" fontId="52" fillId="0" borderId="29" xfId="32" applyNumberFormat="1" applyFont="1" applyFill="1" applyBorder="1" applyAlignment="1">
      <alignment horizontal="center" vertical="center" wrapText="1"/>
    </xf>
    <xf numFmtId="0" fontId="52" fillId="0" borderId="27" xfId="32" applyFont="1" applyBorder="1" applyAlignment="1">
      <alignment horizontal="left" vertical="center" wrapText="1"/>
    </xf>
    <xf numFmtId="0" fontId="52" fillId="0" borderId="28" xfId="32" applyFont="1" applyBorder="1" applyAlignment="1">
      <alignment horizontal="center" vertical="center" wrapText="1"/>
    </xf>
    <xf numFmtId="0" fontId="31" fillId="0" borderId="13" xfId="0" applyFont="1" applyBorder="1" applyAlignment="1">
      <alignment horizontal="left" vertical="center"/>
    </xf>
    <xf numFmtId="0" fontId="31" fillId="0" borderId="14" xfId="0" applyFont="1" applyBorder="1" applyAlignment="1">
      <alignment horizontal="center"/>
    </xf>
    <xf numFmtId="49" fontId="31" fillId="0" borderId="14" xfId="0" applyNumberFormat="1" applyFont="1" applyBorder="1"/>
    <xf numFmtId="0" fontId="31" fillId="0" borderId="13" xfId="0" applyFont="1" applyBorder="1" applyAlignment="1">
      <alignment vertical="center"/>
    </xf>
    <xf numFmtId="0" fontId="32" fillId="0" borderId="15" xfId="0" applyFont="1" applyBorder="1" applyAlignment="1">
      <alignment vertical="center"/>
    </xf>
    <xf numFmtId="0" fontId="31" fillId="0" borderId="15" xfId="0" applyFont="1" applyBorder="1" applyAlignment="1">
      <alignment horizontal="center"/>
    </xf>
    <xf numFmtId="0" fontId="31" fillId="0" borderId="5" xfId="0" applyFont="1" applyBorder="1" applyAlignment="1">
      <alignment horizontal="left"/>
    </xf>
    <xf numFmtId="0" fontId="32" fillId="0" borderId="8" xfId="0" applyFont="1" applyBorder="1" applyAlignment="1">
      <alignment horizontal="left" vertical="center"/>
    </xf>
    <xf numFmtId="0" fontId="54" fillId="0" borderId="0" xfId="0" applyFont="1"/>
    <xf numFmtId="49" fontId="31" fillId="0" borderId="0" xfId="0" applyNumberFormat="1" applyFont="1"/>
    <xf numFmtId="0" fontId="32" fillId="0" borderId="0" xfId="0" applyFont="1"/>
    <xf numFmtId="0" fontId="32" fillId="0" borderId="0" xfId="0" applyFont="1" applyAlignment="1">
      <alignment horizontal="left"/>
    </xf>
    <xf numFmtId="0" fontId="32" fillId="0" borderId="6" xfId="0" applyFont="1" applyBorder="1" applyAlignment="1">
      <alignment horizontal="center" vertical="center"/>
    </xf>
    <xf numFmtId="0" fontId="53" fillId="0" borderId="5" xfId="0" applyFont="1" applyBorder="1" applyAlignment="1">
      <alignment vertical="center"/>
    </xf>
    <xf numFmtId="0" fontId="32" fillId="0" borderId="16" xfId="0" applyFont="1" applyBorder="1" applyAlignment="1">
      <alignment horizontal="left" vertical="center"/>
    </xf>
    <xf numFmtId="0" fontId="32" fillId="0" borderId="17" xfId="0" applyFont="1" applyBorder="1" applyAlignment="1">
      <alignment horizontal="left" vertical="center"/>
    </xf>
    <xf numFmtId="0" fontId="55" fillId="0" borderId="8" xfId="0" applyFont="1" applyBorder="1" applyAlignment="1">
      <alignment horizontal="center" vertical="center"/>
    </xf>
    <xf numFmtId="0" fontId="32" fillId="0" borderId="8" xfId="0" applyFont="1" applyBorder="1" applyAlignment="1">
      <alignment horizontal="center" vertical="center"/>
    </xf>
    <xf numFmtId="0" fontId="32" fillId="0" borderId="8" xfId="0" applyFont="1" applyBorder="1"/>
    <xf numFmtId="0" fontId="32" fillId="0" borderId="6" xfId="0" applyFont="1" applyBorder="1" applyAlignment="1">
      <alignment horizontal="left" vertical="center"/>
    </xf>
    <xf numFmtId="0" fontId="32" fillId="0" borderId="7" xfId="0" applyFont="1" applyBorder="1" applyAlignment="1">
      <alignment horizontal="left" vertical="center"/>
    </xf>
    <xf numFmtId="0" fontId="55" fillId="0" borderId="0" xfId="0" applyFont="1" applyBorder="1" applyAlignment="1">
      <alignment horizontal="center" vertical="center"/>
    </xf>
    <xf numFmtId="0" fontId="32" fillId="0" borderId="0" xfId="0" applyFont="1" applyBorder="1" applyAlignment="1">
      <alignment horizontal="center" vertical="center"/>
    </xf>
    <xf numFmtId="0" fontId="32" fillId="0" borderId="0" xfId="0" applyFont="1" applyBorder="1"/>
    <xf numFmtId="0" fontId="32" fillId="0" borderId="0" xfId="0" applyFont="1" applyBorder="1" applyAlignment="1">
      <alignment horizontal="left" vertical="center"/>
    </xf>
    <xf numFmtId="49" fontId="31" fillId="0" borderId="5" xfId="0" applyNumberFormat="1" applyFont="1" applyBorder="1" applyAlignment="1">
      <alignment horizontal="center"/>
    </xf>
    <xf numFmtId="0" fontId="57" fillId="0" borderId="0" xfId="0" applyFont="1" applyBorder="1" applyAlignment="1">
      <alignment horizontal="center" vertical="center"/>
    </xf>
    <xf numFmtId="49" fontId="31" fillId="0" borderId="0" xfId="0" applyNumberFormat="1" applyFont="1" applyAlignment="1">
      <alignment horizontal="center"/>
    </xf>
    <xf numFmtId="0" fontId="60" fillId="0" borderId="5" xfId="0" applyFont="1" applyBorder="1" applyAlignment="1">
      <alignment horizontal="right"/>
    </xf>
    <xf numFmtId="0" fontId="56" fillId="0" borderId="5" xfId="0" applyFont="1" applyBorder="1" applyAlignment="1">
      <alignment horizontal="right" vertical="top"/>
    </xf>
    <xf numFmtId="0" fontId="31" fillId="0" borderId="5" xfId="0" applyFont="1" applyBorder="1" applyAlignment="1">
      <alignment horizontal="right"/>
    </xf>
    <xf numFmtId="164" fontId="53" fillId="0" borderId="5" xfId="0" applyNumberFormat="1" applyFont="1" applyBorder="1"/>
    <xf numFmtId="0" fontId="58" fillId="0" borderId="0" xfId="0" applyFont="1"/>
    <xf numFmtId="0" fontId="53" fillId="0" borderId="0" xfId="0" applyFont="1" applyAlignment="1">
      <alignment horizontal="center"/>
    </xf>
    <xf numFmtId="0" fontId="61" fillId="0" borderId="0" xfId="0" applyFont="1"/>
    <xf numFmtId="0" fontId="63" fillId="28" borderId="18" xfId="0" applyFont="1" applyFill="1" applyBorder="1" applyAlignment="1">
      <alignment horizontal="center" vertical="center"/>
    </xf>
    <xf numFmtId="0" fontId="63" fillId="28" borderId="11" xfId="0" applyFont="1" applyFill="1" applyBorder="1" applyAlignment="1">
      <alignment horizontal="center" vertical="center"/>
    </xf>
    <xf numFmtId="0" fontId="24" fillId="28" borderId="19" xfId="0" applyFont="1" applyFill="1" applyBorder="1" applyAlignment="1">
      <alignment horizontal="center" vertical="center"/>
    </xf>
    <xf numFmtId="2" fontId="24" fillId="28" borderId="5" xfId="0" applyNumberFormat="1" applyFont="1" applyFill="1" applyBorder="1" applyAlignment="1">
      <alignment horizontal="center" vertical="center"/>
    </xf>
    <xf numFmtId="0" fontId="31" fillId="0" borderId="9" xfId="0" applyFont="1" applyFill="1" applyBorder="1" applyAlignment="1">
      <alignment horizontal="center" vertical="center"/>
    </xf>
    <xf numFmtId="0" fontId="24" fillId="24" borderId="33" xfId="0" applyFont="1" applyFill="1" applyBorder="1" applyAlignment="1">
      <alignment horizontal="right" vertical="center"/>
    </xf>
    <xf numFmtId="2" fontId="29" fillId="24" borderId="0" xfId="0" applyNumberFormat="1" applyFont="1" applyFill="1" applyBorder="1" applyAlignment="1">
      <alignment horizontal="center" vertical="center"/>
    </xf>
    <xf numFmtId="167" fontId="29" fillId="24" borderId="34" xfId="36" applyNumberFormat="1" applyFont="1" applyFill="1" applyBorder="1" applyAlignment="1">
      <alignment vertical="center"/>
    </xf>
    <xf numFmtId="14" fontId="64" fillId="0" borderId="5" xfId="0" applyNumberFormat="1" applyFont="1" applyBorder="1" applyAlignment="1">
      <alignment horizontal="center" vertical="center"/>
    </xf>
    <xf numFmtId="14" fontId="64" fillId="0" borderId="5" xfId="0" applyNumberFormat="1" applyFont="1" applyBorder="1" applyAlignment="1">
      <alignment horizontal="center" vertical="center" wrapText="1"/>
    </xf>
    <xf numFmtId="0" fontId="52" fillId="0" borderId="35" xfId="32" applyFont="1" applyBorder="1" applyAlignment="1">
      <alignment horizontal="center" vertical="center" wrapText="1"/>
    </xf>
    <xf numFmtId="0" fontId="65" fillId="0" borderId="5" xfId="0" applyFont="1" applyBorder="1" applyAlignment="1">
      <alignment horizontal="center" vertical="center"/>
    </xf>
    <xf numFmtId="0" fontId="56" fillId="28" borderId="9" xfId="0" applyFont="1" applyFill="1" applyBorder="1" applyAlignment="1">
      <alignment horizontal="center" vertical="center"/>
    </xf>
    <xf numFmtId="0" fontId="56" fillId="28" borderId="10" xfId="0" applyFont="1" applyFill="1" applyBorder="1" applyAlignment="1">
      <alignment horizontal="center" vertical="center"/>
    </xf>
    <xf numFmtId="0" fontId="62" fillId="0" borderId="0" xfId="0" applyFont="1" applyAlignment="1">
      <alignment horizontal="left" vertical="center" wrapText="1"/>
    </xf>
    <xf numFmtId="0" fontId="47" fillId="0" borderId="5" xfId="32" applyFont="1" applyBorder="1" applyAlignment="1">
      <alignment horizontal="left" vertical="center" wrapText="1"/>
    </xf>
    <xf numFmtId="0" fontId="52" fillId="0" borderId="26" xfId="32" applyFont="1" applyBorder="1" applyAlignment="1">
      <alignment horizontal="center" vertical="center" wrapText="1"/>
    </xf>
    <xf numFmtId="0" fontId="52" fillId="0" borderId="27" xfId="32" applyFont="1" applyBorder="1" applyAlignment="1">
      <alignment horizontal="center" vertical="center" wrapText="1"/>
    </xf>
    <xf numFmtId="0" fontId="59" fillId="0" borderId="0" xfId="0" applyFont="1" applyAlignment="1">
      <alignment horizontal="center"/>
    </xf>
    <xf numFmtId="0" fontId="25" fillId="0" borderId="0" xfId="0" applyFont="1" applyAlignment="1">
      <alignment horizontal="center"/>
    </xf>
    <xf numFmtId="0" fontId="31" fillId="0" borderId="21" xfId="0" applyFont="1" applyBorder="1" applyAlignment="1">
      <alignment horizontal="left" vertical="center"/>
    </xf>
    <xf numFmtId="0" fontId="32" fillId="0" borderId="22" xfId="0" applyFont="1" applyBorder="1" applyAlignment="1">
      <alignment horizontal="left" vertical="center"/>
    </xf>
    <xf numFmtId="0" fontId="32" fillId="0" borderId="16" xfId="0" applyFont="1" applyBorder="1" applyAlignment="1">
      <alignment horizontal="left" vertical="center"/>
    </xf>
    <xf numFmtId="0" fontId="32" fillId="0" borderId="17" xfId="0" applyFont="1" applyBorder="1" applyAlignment="1">
      <alignment horizontal="left" vertical="center"/>
    </xf>
    <xf numFmtId="0" fontId="55" fillId="23" borderId="9" xfId="0" applyFont="1" applyFill="1" applyBorder="1" applyAlignment="1">
      <alignment horizontal="center" vertical="center"/>
    </xf>
    <xf numFmtId="0" fontId="55" fillId="23" borderId="10" xfId="0" applyFont="1" applyFill="1" applyBorder="1" applyAlignment="1">
      <alignment horizontal="center" vertical="center"/>
    </xf>
    <xf numFmtId="0" fontId="31" fillId="0" borderId="9" xfId="0" applyFont="1" applyBorder="1" applyAlignment="1">
      <alignment horizontal="left" vertical="center"/>
    </xf>
    <xf numFmtId="0" fontId="32" fillId="0" borderId="10" xfId="0" applyFont="1" applyBorder="1" applyAlignment="1">
      <alignment horizontal="left" vertical="center"/>
    </xf>
    <xf numFmtId="0" fontId="46" fillId="26" borderId="0" xfId="0" applyFont="1" applyFill="1" applyAlignment="1">
      <alignment horizontal="center" vertical="top" wrapText="1"/>
    </xf>
    <xf numFmtId="0" fontId="66" fillId="0" borderId="5" xfId="0" quotePrefix="1" applyFont="1" applyFill="1" applyBorder="1" applyAlignment="1">
      <alignment horizontal="center" vertical="center" wrapText="1"/>
    </xf>
    <xf numFmtId="0" fontId="37" fillId="0" borderId="5" xfId="0" quotePrefix="1" applyFont="1" applyFill="1" applyBorder="1" applyAlignment="1">
      <alignment horizontal="center" vertical="center" wrapText="1"/>
    </xf>
    <xf numFmtId="0" fontId="48" fillId="0" borderId="5" xfId="0" applyFont="1" applyBorder="1" applyAlignment="1">
      <alignment horizontal="center" vertical="center"/>
    </xf>
    <xf numFmtId="0" fontId="44" fillId="27" borderId="0" xfId="0" applyFont="1" applyFill="1" applyAlignment="1">
      <alignment horizontal="center" vertical="top" wrapText="1"/>
    </xf>
  </cellXfs>
  <cellStyles count="38">
    <cellStyle name="=C:\WINNT\SYSTEM32\COMMAND.COM 2" xfId="1" xr:uid="{00000000-0005-0000-0000-000000000000}"/>
    <cellStyle name="20 % - Accent1" xfId="2" xr:uid="{00000000-0005-0000-0000-000001000000}"/>
    <cellStyle name="20 % - Accent2" xfId="3" xr:uid="{00000000-0005-0000-0000-000002000000}"/>
    <cellStyle name="20 % - Accent3" xfId="4" xr:uid="{00000000-0005-0000-0000-000003000000}"/>
    <cellStyle name="20 % - Accent4" xfId="5" xr:uid="{00000000-0005-0000-0000-000004000000}"/>
    <cellStyle name="20 % - Accent5" xfId="6" xr:uid="{00000000-0005-0000-0000-000005000000}"/>
    <cellStyle name="20 % - Accent6" xfId="7" xr:uid="{00000000-0005-0000-0000-000006000000}"/>
    <cellStyle name="40 % - Accent1" xfId="8" xr:uid="{00000000-0005-0000-0000-000007000000}"/>
    <cellStyle name="40 % - Accent2" xfId="9" xr:uid="{00000000-0005-0000-0000-000008000000}"/>
    <cellStyle name="40 % - Accent3" xfId="10" xr:uid="{00000000-0005-0000-0000-000009000000}"/>
    <cellStyle name="40 % - Accent4" xfId="11" xr:uid="{00000000-0005-0000-0000-00000A000000}"/>
    <cellStyle name="40 % - Accent5" xfId="12" xr:uid="{00000000-0005-0000-0000-00000B000000}"/>
    <cellStyle name="40 % - Accent6" xfId="13" xr:uid="{00000000-0005-0000-0000-00000C000000}"/>
    <cellStyle name="60 % - Accent1" xfId="14" xr:uid="{00000000-0005-0000-0000-00000D000000}"/>
    <cellStyle name="60 % - Accent2" xfId="15" xr:uid="{00000000-0005-0000-0000-00000E000000}"/>
    <cellStyle name="60 % - Accent3" xfId="16" xr:uid="{00000000-0005-0000-0000-00000F000000}"/>
    <cellStyle name="60 % - Accent4" xfId="17" xr:uid="{00000000-0005-0000-0000-000010000000}"/>
    <cellStyle name="60 % - Accent5" xfId="18" xr:uid="{00000000-0005-0000-0000-000011000000}"/>
    <cellStyle name="60 % - Accent6" xfId="19" xr:uid="{00000000-0005-0000-0000-000012000000}"/>
    <cellStyle name="Accent1" xfId="20" builtinId="29" customBuiltin="1"/>
    <cellStyle name="Accent2" xfId="21" builtinId="33" customBuiltin="1"/>
    <cellStyle name="Accent3" xfId="22" builtinId="37" customBuiltin="1"/>
    <cellStyle name="Accent4" xfId="23" builtinId="41" customBuiltin="1"/>
    <cellStyle name="Accent5" xfId="24" builtinId="45" customBuiltin="1"/>
    <cellStyle name="Accent6" xfId="25" builtinId="49" customBuiltin="1"/>
    <cellStyle name="Avertissement" xfId="26" xr:uid="{00000000-0005-0000-0000-000019000000}"/>
    <cellStyle name="Calcul" xfId="27" xr:uid="{00000000-0005-0000-0000-00001A000000}"/>
    <cellStyle name="Cellule liée" xfId="28" xr:uid="{00000000-0005-0000-0000-00001B000000}"/>
    <cellStyle name="Commentaire" xfId="29" xr:uid="{00000000-0005-0000-0000-00001C000000}"/>
    <cellStyle name="Entrée" xfId="30" xr:uid="{00000000-0005-0000-0000-00001D000000}"/>
    <cellStyle name="Euro" xfId="31" xr:uid="{00000000-0005-0000-0000-00001E000000}"/>
    <cellStyle name="Normal" xfId="0" builtinId="0"/>
    <cellStyle name="Normal 2" xfId="32" xr:uid="{00000000-0005-0000-0000-000020000000}"/>
    <cellStyle name="Normal 2 2" xfId="33" xr:uid="{00000000-0005-0000-0000-000021000000}"/>
    <cellStyle name="Normal 2 3" xfId="34" xr:uid="{00000000-0005-0000-0000-000022000000}"/>
    <cellStyle name="Normal 6" xfId="35" xr:uid="{00000000-0005-0000-0000-000023000000}"/>
    <cellStyle name="Pourcentage" xfId="36" builtinId="5"/>
    <cellStyle name="Total" xfId="3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xdr:rowOff>
    </xdr:from>
    <xdr:to>
      <xdr:col>0</xdr:col>
      <xdr:colOff>2333625</xdr:colOff>
      <xdr:row>4</xdr:row>
      <xdr:rowOff>75887</xdr:rowOff>
    </xdr:to>
    <xdr:pic>
      <xdr:nvPicPr>
        <xdr:cNvPr id="5237" name="Picture 4" descr="logo eneo-01">
          <a:extLst>
            <a:ext uri="{FF2B5EF4-FFF2-40B4-BE49-F238E27FC236}">
              <a16:creationId xmlns:a16="http://schemas.microsoft.com/office/drawing/2014/main" id="{00000000-0008-0000-0000-0000751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
          <a:ext cx="2333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4"/>
  <sheetViews>
    <sheetView tabSelected="1" view="pageBreakPreview" zoomScale="60" zoomScaleNormal="75" workbookViewId="0">
      <selection activeCell="C27" sqref="C27"/>
    </sheetView>
  </sheetViews>
  <sheetFormatPr baseColWidth="10" defaultColWidth="9.140625" defaultRowHeight="12.75" x14ac:dyDescent="0.2"/>
  <cols>
    <col min="1" max="1" width="37.42578125" style="46" customWidth="1"/>
    <col min="2" max="2" width="22.85546875" style="46" customWidth="1"/>
    <col min="3" max="3" width="31.5703125" style="46" customWidth="1"/>
    <col min="4" max="4" width="23.7109375" style="46" customWidth="1"/>
    <col min="5" max="5" width="27.140625" style="46" customWidth="1"/>
    <col min="6" max="6" width="23" style="46" customWidth="1"/>
    <col min="7" max="7" width="26.140625" style="46" customWidth="1"/>
    <col min="8" max="8" width="30.140625" style="46" customWidth="1"/>
    <col min="9" max="9" width="32.42578125" style="46" customWidth="1"/>
    <col min="10" max="16384" width="9.140625" style="46"/>
  </cols>
  <sheetData>
    <row r="1" spans="1:9" ht="19.5" x14ac:dyDescent="0.25">
      <c r="C1" s="164" t="s">
        <v>76</v>
      </c>
      <c r="D1" s="164"/>
      <c r="E1" s="164"/>
      <c r="F1" s="164"/>
      <c r="G1" s="164"/>
      <c r="H1" s="164"/>
    </row>
    <row r="2" spans="1:9" ht="15" x14ac:dyDescent="0.2">
      <c r="C2" s="165"/>
      <c r="D2" s="165"/>
      <c r="E2" s="165"/>
      <c r="F2" s="165"/>
      <c r="G2" s="165"/>
      <c r="H2" s="165"/>
    </row>
    <row r="3" spans="1:9" ht="18" x14ac:dyDescent="0.25">
      <c r="A3" s="47"/>
      <c r="B3" s="48"/>
      <c r="C3" s="47"/>
      <c r="E3" s="48"/>
      <c r="F3" s="47"/>
      <c r="G3" s="121"/>
      <c r="H3" s="138"/>
      <c r="I3" s="121"/>
    </row>
    <row r="4" spans="1:9" s="51" customFormat="1" ht="18" x14ac:dyDescent="0.25">
      <c r="A4" s="49"/>
      <c r="B4" s="50"/>
      <c r="C4" s="49"/>
      <c r="E4" s="52"/>
      <c r="F4" s="49"/>
      <c r="G4" s="139" t="s">
        <v>32</v>
      </c>
      <c r="H4" s="140" t="s">
        <v>99</v>
      </c>
      <c r="I4" s="121"/>
    </row>
    <row r="5" spans="1:9" s="51" customFormat="1" ht="17.25" customHeight="1" x14ac:dyDescent="0.25">
      <c r="A5" s="49"/>
      <c r="B5" s="50"/>
      <c r="C5" s="49"/>
      <c r="D5" s="49"/>
      <c r="E5" s="52"/>
      <c r="F5" s="49"/>
      <c r="G5" s="141" t="s">
        <v>33</v>
      </c>
      <c r="H5" s="142">
        <v>46153</v>
      </c>
      <c r="I5" s="121"/>
    </row>
    <row r="6" spans="1:9" s="51" customFormat="1" ht="18" x14ac:dyDescent="0.25">
      <c r="A6" s="49"/>
      <c r="B6" s="50"/>
      <c r="C6" s="49"/>
      <c r="D6" s="49"/>
      <c r="F6" s="49"/>
      <c r="G6" s="119"/>
      <c r="I6" s="121"/>
    </row>
    <row r="7" spans="1:9" ht="8.25" customHeight="1" x14ac:dyDescent="0.2">
      <c r="A7" s="47"/>
      <c r="B7" s="47"/>
      <c r="C7" s="47"/>
      <c r="D7" s="47"/>
      <c r="E7" s="47"/>
      <c r="F7" s="47"/>
      <c r="G7" s="47"/>
      <c r="H7" s="47"/>
    </row>
    <row r="8" spans="1:9" x14ac:dyDescent="0.2">
      <c r="A8" s="47"/>
      <c r="B8" s="47"/>
      <c r="C8" s="47"/>
      <c r="D8" s="47"/>
      <c r="E8" s="47"/>
      <c r="F8" s="47"/>
      <c r="G8" s="47"/>
      <c r="H8" s="47"/>
    </row>
    <row r="9" spans="1:9" ht="30.75" customHeight="1" x14ac:dyDescent="0.2">
      <c r="A9" s="174" t="s">
        <v>34</v>
      </c>
      <c r="B9" s="174"/>
      <c r="C9" s="174"/>
      <c r="D9" s="174"/>
      <c r="E9" s="174"/>
      <c r="F9" s="174"/>
      <c r="G9" s="174"/>
      <c r="H9" s="174"/>
      <c r="I9" s="174"/>
    </row>
    <row r="10" spans="1:9" ht="12.75" customHeight="1" x14ac:dyDescent="0.2">
      <c r="A10" s="54"/>
      <c r="B10" s="55"/>
      <c r="C10" s="55"/>
      <c r="D10" s="55"/>
      <c r="E10" s="55"/>
      <c r="F10" s="55"/>
      <c r="G10" s="55"/>
      <c r="H10" s="55"/>
      <c r="I10" s="53"/>
    </row>
    <row r="11" spans="1:9" ht="9" customHeight="1" x14ac:dyDescent="0.2">
      <c r="A11" s="56"/>
      <c r="B11" s="56"/>
      <c r="C11" s="56"/>
      <c r="D11" s="56"/>
      <c r="E11" s="56"/>
      <c r="F11" s="56"/>
      <c r="G11" s="56"/>
      <c r="H11" s="56"/>
    </row>
    <row r="12" spans="1:9" s="51" customFormat="1" ht="21.75" customHeight="1" x14ac:dyDescent="0.25">
      <c r="A12" s="111" t="s">
        <v>0</v>
      </c>
      <c r="B12" s="112"/>
      <c r="C12" s="113"/>
      <c r="D12" s="114" t="s">
        <v>96</v>
      </c>
      <c r="E12" s="115"/>
      <c r="F12" s="116"/>
      <c r="G12" s="117" t="s">
        <v>1</v>
      </c>
      <c r="H12" s="142">
        <v>46153</v>
      </c>
    </row>
    <row r="13" spans="1:9" s="51" customFormat="1" ht="21.75" customHeight="1" x14ac:dyDescent="0.25">
      <c r="A13" s="118"/>
      <c r="B13" s="119"/>
      <c r="C13" s="120"/>
      <c r="D13" s="119"/>
      <c r="E13" s="119"/>
      <c r="F13" s="121"/>
      <c r="G13" s="122"/>
      <c r="H13" s="122"/>
    </row>
    <row r="14" spans="1:9" s="51" customFormat="1" ht="21.75" customHeight="1" x14ac:dyDescent="0.25">
      <c r="A14" s="166" t="s">
        <v>2</v>
      </c>
      <c r="B14" s="167"/>
      <c r="C14" s="170"/>
      <c r="D14" s="123"/>
      <c r="E14" s="119"/>
      <c r="F14" s="121"/>
      <c r="G14" s="172" t="s">
        <v>3</v>
      </c>
      <c r="H14" s="150" t="s">
        <v>100</v>
      </c>
    </row>
    <row r="15" spans="1:9" s="51" customFormat="1" ht="21.75" customHeight="1" x14ac:dyDescent="0.25">
      <c r="A15" s="168"/>
      <c r="B15" s="169"/>
      <c r="C15" s="171"/>
      <c r="D15" s="123"/>
      <c r="E15" s="121"/>
      <c r="F15" s="121"/>
      <c r="G15" s="173"/>
      <c r="H15" s="124"/>
    </row>
    <row r="16" spans="1:9" s="51" customFormat="1" ht="21.75" customHeight="1" x14ac:dyDescent="0.25">
      <c r="A16" s="125"/>
      <c r="B16" s="126"/>
      <c r="C16" s="127"/>
      <c r="D16" s="128"/>
      <c r="E16" s="129"/>
      <c r="F16" s="119"/>
      <c r="G16" s="118"/>
      <c r="H16" s="118"/>
    </row>
    <row r="17" spans="1:12" s="51" customFormat="1" ht="21.75" customHeight="1" x14ac:dyDescent="0.25">
      <c r="A17" s="130"/>
      <c r="B17" s="131"/>
      <c r="C17" s="132"/>
      <c r="D17" s="133"/>
      <c r="E17" s="134"/>
      <c r="F17" s="134"/>
      <c r="G17" s="135"/>
      <c r="H17" s="135"/>
    </row>
    <row r="18" spans="1:12" s="51" customFormat="1" ht="21.75" customHeight="1" x14ac:dyDescent="0.25">
      <c r="A18" s="136" t="s">
        <v>4</v>
      </c>
      <c r="B18" s="158"/>
      <c r="C18" s="132"/>
      <c r="D18" s="137"/>
      <c r="E18" s="134"/>
      <c r="F18" s="134"/>
      <c r="G18" s="117" t="s">
        <v>5</v>
      </c>
      <c r="H18" s="142">
        <v>46153</v>
      </c>
    </row>
    <row r="19" spans="1:12" ht="5.25" customHeight="1" x14ac:dyDescent="0.25">
      <c r="A19" s="130"/>
      <c r="B19" s="159"/>
      <c r="C19" s="132"/>
      <c r="D19" s="133"/>
      <c r="E19" s="134"/>
      <c r="F19" s="134"/>
      <c r="G19" s="135"/>
      <c r="H19" s="135"/>
    </row>
    <row r="20" spans="1:12" ht="14.1" customHeight="1" x14ac:dyDescent="0.2">
      <c r="A20" s="59"/>
      <c r="B20" s="59"/>
      <c r="C20" s="57"/>
      <c r="D20" s="57"/>
      <c r="E20" s="58"/>
      <c r="F20" s="58"/>
      <c r="G20" s="59"/>
      <c r="H20" s="60"/>
    </row>
    <row r="21" spans="1:12" ht="31.5" customHeight="1" x14ac:dyDescent="0.2">
      <c r="A21" s="178"/>
      <c r="B21" s="178"/>
      <c r="C21" s="178"/>
      <c r="D21" s="178"/>
      <c r="E21" s="178"/>
      <c r="F21" s="178"/>
      <c r="G21" s="178"/>
      <c r="H21" s="178"/>
      <c r="I21" s="178"/>
      <c r="J21" s="178"/>
    </row>
    <row r="22" spans="1:12" ht="65.25" customHeight="1" x14ac:dyDescent="0.2">
      <c r="A22" s="160" t="s">
        <v>101</v>
      </c>
      <c r="B22" s="160"/>
      <c r="C22" s="160"/>
      <c r="D22" s="160"/>
      <c r="E22" s="160"/>
      <c r="F22" s="91"/>
      <c r="G22" s="91"/>
      <c r="H22" s="91"/>
      <c r="I22" s="91"/>
      <c r="J22" s="91"/>
    </row>
    <row r="23" spans="1:12" ht="23.25" customHeight="1" x14ac:dyDescent="0.2">
      <c r="A23" s="62" t="s">
        <v>6</v>
      </c>
      <c r="B23" s="90"/>
      <c r="C23" s="61"/>
      <c r="D23" s="63"/>
      <c r="E23" s="61"/>
      <c r="F23" s="64"/>
      <c r="G23" s="64"/>
      <c r="H23" s="58"/>
      <c r="I23" s="65"/>
      <c r="J23" s="65"/>
      <c r="K23" s="65"/>
      <c r="L23" s="53"/>
    </row>
    <row r="24" spans="1:12" s="51" customFormat="1" ht="83.25" customHeight="1" thickBot="1" x14ac:dyDescent="0.25">
      <c r="A24" s="62" t="s">
        <v>85</v>
      </c>
      <c r="B24" s="161" t="s">
        <v>102</v>
      </c>
      <c r="C24" s="161"/>
      <c r="D24" s="161"/>
      <c r="E24" s="161"/>
      <c r="F24" s="161"/>
      <c r="G24" s="161"/>
    </row>
    <row r="25" spans="1:12" s="51" customFormat="1" ht="52.5" customHeight="1" thickTop="1" thickBot="1" x14ac:dyDescent="0.3">
      <c r="A25" s="92" t="s">
        <v>7</v>
      </c>
      <c r="B25" s="93" t="s">
        <v>87</v>
      </c>
      <c r="C25" s="155">
        <v>46155</v>
      </c>
      <c r="D25" s="157" t="s">
        <v>8</v>
      </c>
      <c r="E25" s="154" t="s">
        <v>109</v>
      </c>
      <c r="F25" s="92"/>
      <c r="G25" s="66"/>
    </row>
    <row r="26" spans="1:12" s="51" customFormat="1" ht="49.5" customHeight="1" thickTop="1" thickBot="1" x14ac:dyDescent="0.3">
      <c r="A26" s="94" t="s">
        <v>79</v>
      </c>
      <c r="B26" s="93" t="s">
        <v>87</v>
      </c>
      <c r="C26" s="155">
        <v>46155</v>
      </c>
      <c r="D26" s="157" t="s">
        <v>8</v>
      </c>
      <c r="E26" s="154" t="s">
        <v>110</v>
      </c>
      <c r="F26" s="94"/>
      <c r="G26" s="66"/>
    </row>
    <row r="27" spans="1:12" s="51" customFormat="1" ht="46.5" customHeight="1" thickTop="1" thickBot="1" x14ac:dyDescent="0.3">
      <c r="A27" s="94" t="s">
        <v>80</v>
      </c>
      <c r="B27" s="93" t="s">
        <v>87</v>
      </c>
      <c r="C27" s="155">
        <v>46155</v>
      </c>
      <c r="D27" s="157" t="s">
        <v>8</v>
      </c>
      <c r="E27" s="154" t="s">
        <v>111</v>
      </c>
      <c r="F27" s="95"/>
      <c r="G27" s="66"/>
    </row>
    <row r="28" spans="1:12" s="51" customFormat="1" ht="48" customHeight="1" thickTop="1" x14ac:dyDescent="0.25">
      <c r="A28" s="96" t="s">
        <v>52</v>
      </c>
      <c r="B28" s="93" t="s">
        <v>87</v>
      </c>
      <c r="C28" s="155">
        <v>46155</v>
      </c>
      <c r="D28" s="157" t="s">
        <v>8</v>
      </c>
      <c r="E28" s="154" t="s">
        <v>112</v>
      </c>
      <c r="F28" s="97"/>
      <c r="G28" s="66"/>
    </row>
    <row r="29" spans="1:12" s="51" customFormat="1" ht="27.75" customHeight="1" thickBot="1" x14ac:dyDescent="0.3">
      <c r="A29" s="98" t="s">
        <v>9</v>
      </c>
      <c r="B29" s="99"/>
      <c r="C29" s="100"/>
      <c r="D29" s="99"/>
      <c r="E29" s="154" t="s">
        <v>90</v>
      </c>
      <c r="F29" s="101"/>
      <c r="G29" s="66"/>
    </row>
    <row r="30" spans="1:12" s="51" customFormat="1" ht="24" customHeight="1" x14ac:dyDescent="0.25">
      <c r="A30" s="102" t="s">
        <v>10</v>
      </c>
      <c r="B30" s="99" t="s">
        <v>11</v>
      </c>
      <c r="C30" s="177" t="s">
        <v>12</v>
      </c>
      <c r="D30" s="177"/>
      <c r="E30" s="99" t="s">
        <v>13</v>
      </c>
      <c r="F30" s="103" t="s">
        <v>14</v>
      </c>
      <c r="G30" s="146" t="s">
        <v>68</v>
      </c>
      <c r="H30" s="147" t="s">
        <v>35</v>
      </c>
      <c r="I30" s="67" t="s">
        <v>50</v>
      </c>
    </row>
    <row r="31" spans="1:12" s="51" customFormat="1" ht="42" customHeight="1" thickBot="1" x14ac:dyDescent="0.25">
      <c r="A31" s="104" t="s">
        <v>77</v>
      </c>
      <c r="B31" s="93" t="s">
        <v>87</v>
      </c>
      <c r="C31" s="105" t="s">
        <v>81</v>
      </c>
      <c r="D31" s="106" t="s">
        <v>82</v>
      </c>
      <c r="E31" s="105" t="s">
        <v>83</v>
      </c>
      <c r="F31" s="107" t="s">
        <v>84</v>
      </c>
      <c r="G31" s="148" t="s">
        <v>89</v>
      </c>
      <c r="H31" s="149">
        <v>6</v>
      </c>
      <c r="I31" s="70"/>
    </row>
    <row r="32" spans="1:12" s="51" customFormat="1" ht="58.5" customHeight="1" thickTop="1" thickBot="1" x14ac:dyDescent="0.25">
      <c r="A32" s="162" t="s">
        <v>92</v>
      </c>
      <c r="B32" s="93" t="s">
        <v>87</v>
      </c>
      <c r="C32" s="106" t="s">
        <v>103</v>
      </c>
      <c r="D32" s="106" t="s">
        <v>88</v>
      </c>
      <c r="E32" s="106" t="s">
        <v>97</v>
      </c>
      <c r="F32" s="108">
        <v>693439454</v>
      </c>
      <c r="G32" s="68"/>
      <c r="H32" s="69"/>
      <c r="I32" s="70"/>
    </row>
    <row r="33" spans="1:10" s="51" customFormat="1" ht="24" hidden="1" customHeight="1" thickBot="1" x14ac:dyDescent="0.25">
      <c r="A33" s="163"/>
      <c r="B33" s="93" t="s">
        <v>91</v>
      </c>
      <c r="C33" s="106" t="s">
        <v>103</v>
      </c>
      <c r="D33" s="106" t="s">
        <v>86</v>
      </c>
      <c r="E33" s="106" t="s">
        <v>86</v>
      </c>
      <c r="F33" s="108">
        <v>693439454</v>
      </c>
      <c r="G33" s="68" t="s">
        <v>36</v>
      </c>
      <c r="H33" s="69"/>
      <c r="I33" s="70"/>
    </row>
    <row r="34" spans="1:10" s="51" customFormat="1" ht="62.25" customHeight="1" thickTop="1" thickBot="1" x14ac:dyDescent="0.25">
      <c r="A34" s="109" t="s">
        <v>93</v>
      </c>
      <c r="B34" s="93" t="s">
        <v>87</v>
      </c>
      <c r="C34" s="106" t="s">
        <v>103</v>
      </c>
      <c r="D34" s="106" t="s">
        <v>88</v>
      </c>
      <c r="E34" s="106" t="s">
        <v>97</v>
      </c>
      <c r="F34" s="108">
        <v>693439454</v>
      </c>
      <c r="G34" s="151"/>
      <c r="H34" s="152"/>
      <c r="I34" s="153"/>
    </row>
    <row r="35" spans="1:10" s="51" customFormat="1" ht="4.5" hidden="1" customHeight="1" thickTop="1" thickBot="1" x14ac:dyDescent="0.25">
      <c r="A35" s="110" t="s">
        <v>78</v>
      </c>
      <c r="B35" s="93" t="s">
        <v>87</v>
      </c>
      <c r="C35" s="106"/>
      <c r="D35" s="106" t="s">
        <v>88</v>
      </c>
      <c r="E35" s="106" t="s">
        <v>95</v>
      </c>
      <c r="F35" s="108">
        <v>691709903</v>
      </c>
      <c r="G35" s="175" t="s">
        <v>108</v>
      </c>
      <c r="H35" s="176"/>
      <c r="I35" s="176"/>
    </row>
    <row r="36" spans="1:10" s="51" customFormat="1" ht="1.5" customHeight="1" thickTop="1" thickBot="1" x14ac:dyDescent="0.25">
      <c r="A36" s="156"/>
      <c r="B36" s="93"/>
      <c r="C36" s="106"/>
      <c r="D36" s="106"/>
      <c r="E36" s="106"/>
      <c r="F36" s="108"/>
      <c r="G36" s="175"/>
      <c r="H36" s="176"/>
      <c r="I36" s="176"/>
    </row>
    <row r="37" spans="1:10" s="51" customFormat="1" ht="96.75" customHeight="1" thickTop="1" thickBot="1" x14ac:dyDescent="0.25">
      <c r="A37" s="106" t="s">
        <v>78</v>
      </c>
      <c r="B37" s="93" t="s">
        <v>87</v>
      </c>
      <c r="C37" s="106" t="s">
        <v>104</v>
      </c>
      <c r="D37" s="106" t="s">
        <v>88</v>
      </c>
      <c r="E37" s="106" t="s">
        <v>105</v>
      </c>
      <c r="F37" s="108">
        <v>658403577</v>
      </c>
      <c r="G37" s="176"/>
      <c r="H37" s="176"/>
      <c r="I37" s="176"/>
    </row>
    <row r="38" spans="1:10" s="51" customFormat="1" ht="72.75" customHeight="1" thickTop="1" thickBot="1" x14ac:dyDescent="0.25">
      <c r="A38" s="106" t="s">
        <v>94</v>
      </c>
      <c r="B38" s="93" t="s">
        <v>87</v>
      </c>
      <c r="C38" s="106" t="s">
        <v>106</v>
      </c>
      <c r="D38" s="106" t="s">
        <v>88</v>
      </c>
      <c r="E38" s="106" t="s">
        <v>107</v>
      </c>
      <c r="F38" s="108">
        <v>692371893</v>
      </c>
      <c r="G38" s="176"/>
      <c r="H38" s="176"/>
      <c r="I38" s="176"/>
    </row>
    <row r="39" spans="1:10" s="51" customFormat="1" ht="28.5" customHeight="1" thickTop="1" x14ac:dyDescent="0.2">
      <c r="A39" s="178"/>
      <c r="B39" s="178"/>
      <c r="C39" s="178"/>
      <c r="D39" s="178"/>
      <c r="E39" s="178"/>
      <c r="F39" s="178"/>
      <c r="G39" s="178"/>
      <c r="H39" s="178"/>
      <c r="I39" s="178"/>
      <c r="J39" s="178"/>
    </row>
    <row r="40" spans="1:10" ht="18" customHeight="1" x14ac:dyDescent="0.2">
      <c r="A40" s="72" t="s">
        <v>15</v>
      </c>
      <c r="B40" s="73"/>
      <c r="C40" s="74"/>
      <c r="D40" s="74"/>
      <c r="E40" s="74"/>
      <c r="G40" s="71"/>
    </row>
    <row r="41" spans="1:10" ht="14.1" customHeight="1" x14ac:dyDescent="0.2">
      <c r="A41" s="75"/>
      <c r="B41" s="76" t="s">
        <v>31</v>
      </c>
      <c r="C41" s="74"/>
      <c r="D41" s="74"/>
      <c r="E41" s="74"/>
      <c r="G41" s="71"/>
    </row>
    <row r="42" spans="1:10" ht="17.25" customHeight="1" x14ac:dyDescent="0.2">
      <c r="A42" s="75"/>
      <c r="B42" s="76" t="s">
        <v>16</v>
      </c>
      <c r="C42" s="74"/>
      <c r="D42" s="74"/>
      <c r="E42" s="74"/>
      <c r="G42" s="71"/>
    </row>
    <row r="43" spans="1:10" ht="14.1" customHeight="1" x14ac:dyDescent="0.2">
      <c r="A43" s="72" t="s">
        <v>17</v>
      </c>
      <c r="B43" s="77"/>
      <c r="C43" s="74"/>
      <c r="D43" s="74"/>
      <c r="E43" s="74"/>
      <c r="G43" s="71"/>
    </row>
    <row r="44" spans="1:10" ht="14.1" customHeight="1" x14ac:dyDescent="0.2">
      <c r="A44" s="78"/>
      <c r="B44" s="76" t="s">
        <v>18</v>
      </c>
      <c r="C44" s="74"/>
      <c r="D44" s="74"/>
      <c r="E44" s="74"/>
      <c r="G44" s="71"/>
    </row>
    <row r="45" spans="1:10" ht="14.1" customHeight="1" x14ac:dyDescent="0.2">
      <c r="A45" s="79"/>
      <c r="B45" s="80" t="s">
        <v>19</v>
      </c>
      <c r="C45" s="81"/>
      <c r="D45" s="81"/>
      <c r="E45" s="81"/>
      <c r="F45" s="81"/>
      <c r="G45" s="81"/>
      <c r="H45" s="81"/>
      <c r="I45" s="81"/>
    </row>
    <row r="46" spans="1:10" ht="14.1" customHeight="1" x14ac:dyDescent="0.2">
      <c r="A46" s="83" t="s">
        <v>20</v>
      </c>
      <c r="B46" s="49"/>
      <c r="C46" s="82"/>
      <c r="D46" s="82"/>
      <c r="E46" s="82"/>
      <c r="F46" s="82"/>
      <c r="G46" s="89"/>
      <c r="H46" s="89"/>
      <c r="I46" s="89"/>
      <c r="J46" s="82"/>
    </row>
    <row r="47" spans="1:10" ht="14.1" customHeight="1" x14ac:dyDescent="0.2">
      <c r="A47" s="83"/>
      <c r="B47" s="49" t="s">
        <v>21</v>
      </c>
      <c r="C47" s="82"/>
      <c r="D47" s="82"/>
      <c r="E47" s="82"/>
      <c r="F47" s="82"/>
      <c r="G47" s="82"/>
      <c r="H47" s="82"/>
      <c r="I47" s="82"/>
      <c r="J47" s="82"/>
    </row>
    <row r="48" spans="1:10" ht="14.1" customHeight="1" x14ac:dyDescent="0.2">
      <c r="A48" s="83"/>
      <c r="B48" s="49" t="s">
        <v>22</v>
      </c>
      <c r="C48" s="82"/>
      <c r="D48" s="82"/>
      <c r="E48" s="82"/>
      <c r="F48" s="82"/>
      <c r="G48" s="82"/>
      <c r="H48" s="82"/>
      <c r="I48" s="82"/>
      <c r="J48" s="82"/>
    </row>
    <row r="49" spans="1:10" ht="14.1" customHeight="1" x14ac:dyDescent="0.2">
      <c r="A49" s="83"/>
      <c r="B49" s="49" t="s">
        <v>23</v>
      </c>
      <c r="C49" s="82"/>
      <c r="D49" s="82"/>
      <c r="E49" s="82"/>
      <c r="F49" s="82"/>
      <c r="G49" s="82"/>
      <c r="H49" s="82"/>
      <c r="I49" s="82"/>
      <c r="J49" s="82"/>
    </row>
    <row r="50" spans="1:10" ht="14.1" customHeight="1" x14ac:dyDescent="0.2">
      <c r="A50" s="83"/>
      <c r="B50" s="49" t="s">
        <v>24</v>
      </c>
      <c r="C50" s="82"/>
      <c r="D50" s="82"/>
      <c r="E50" s="82"/>
      <c r="F50" s="82"/>
      <c r="G50" s="82"/>
      <c r="H50" s="82"/>
      <c r="I50" s="82"/>
      <c r="J50" s="82"/>
    </row>
    <row r="51" spans="1:10" ht="14.1" customHeight="1" x14ac:dyDescent="0.2">
      <c r="A51" s="83" t="s">
        <v>25</v>
      </c>
      <c r="B51" s="49"/>
      <c r="C51" s="84"/>
      <c r="D51" s="84"/>
      <c r="E51" s="84"/>
      <c r="F51" s="84"/>
      <c r="G51" s="82"/>
      <c r="H51" s="82"/>
      <c r="I51" s="82"/>
      <c r="J51" s="82"/>
    </row>
    <row r="52" spans="1:10" ht="14.1" customHeight="1" x14ac:dyDescent="0.2">
      <c r="A52" s="83"/>
      <c r="B52" s="49" t="s">
        <v>26</v>
      </c>
      <c r="C52" s="84"/>
      <c r="D52" s="84"/>
      <c r="E52" s="84"/>
      <c r="F52" s="84"/>
      <c r="G52" s="84"/>
      <c r="H52" s="84"/>
      <c r="I52" s="82"/>
      <c r="J52" s="82"/>
    </row>
    <row r="53" spans="1:10" ht="14.1" customHeight="1" x14ac:dyDescent="0.2">
      <c r="A53" s="83"/>
      <c r="B53" s="49" t="s">
        <v>27</v>
      </c>
      <c r="C53" s="84"/>
      <c r="D53" s="84"/>
      <c r="E53" s="84"/>
      <c r="F53" s="84"/>
      <c r="G53" s="84"/>
      <c r="H53" s="84"/>
      <c r="I53" s="82"/>
      <c r="J53" s="82"/>
    </row>
    <row r="54" spans="1:10" ht="14.1" customHeight="1" x14ac:dyDescent="0.2">
      <c r="A54" s="83"/>
      <c r="B54" s="49" t="s">
        <v>28</v>
      </c>
      <c r="C54" s="51"/>
      <c r="D54" s="51"/>
      <c r="E54" s="85"/>
      <c r="F54" s="86"/>
      <c r="G54" s="84"/>
      <c r="H54" s="84"/>
      <c r="I54" s="82"/>
      <c r="J54" s="82"/>
    </row>
    <row r="55" spans="1:10" ht="14.1" customHeight="1" x14ac:dyDescent="0.2">
      <c r="A55" s="83"/>
      <c r="B55" s="49" t="s">
        <v>29</v>
      </c>
      <c r="C55" s="49"/>
      <c r="D55" s="51"/>
      <c r="E55" s="51"/>
      <c r="F55" s="87"/>
      <c r="G55" s="85"/>
      <c r="H55" s="51"/>
    </row>
    <row r="56" spans="1:10" ht="14.1" customHeight="1" x14ac:dyDescent="0.2">
      <c r="A56" s="83"/>
      <c r="B56" s="49"/>
      <c r="C56" s="49"/>
      <c r="D56" s="51"/>
      <c r="E56" s="51"/>
      <c r="F56" s="87"/>
      <c r="G56" s="85"/>
      <c r="H56" s="51"/>
    </row>
    <row r="57" spans="1:10" ht="53.25" customHeight="1" x14ac:dyDescent="0.2">
      <c r="A57" s="174" t="s">
        <v>30</v>
      </c>
      <c r="B57" s="174"/>
      <c r="C57" s="174"/>
      <c r="D57" s="174"/>
      <c r="E57" s="174"/>
      <c r="F57" s="174"/>
      <c r="G57" s="174"/>
      <c r="H57" s="174"/>
      <c r="I57" s="174"/>
    </row>
    <row r="58" spans="1:10" ht="36.75" customHeight="1" x14ac:dyDescent="0.2"/>
    <row r="59" spans="1:10" ht="18" x14ac:dyDescent="0.25">
      <c r="F59" s="143" t="s">
        <v>98</v>
      </c>
      <c r="G59" s="121"/>
    </row>
    <row r="60" spans="1:10" ht="18" x14ac:dyDescent="0.25">
      <c r="F60" s="144"/>
      <c r="G60" s="121"/>
    </row>
    <row r="61" spans="1:10" ht="18" x14ac:dyDescent="0.25">
      <c r="F61" s="145"/>
      <c r="G61" s="121"/>
    </row>
    <row r="62" spans="1:10" ht="18" x14ac:dyDescent="0.25">
      <c r="F62" s="121"/>
      <c r="G62" s="121"/>
    </row>
    <row r="63" spans="1:10" ht="18" x14ac:dyDescent="0.25">
      <c r="F63" s="143"/>
      <c r="G63" s="121"/>
    </row>
    <row r="64" spans="1:10" ht="18" x14ac:dyDescent="0.25">
      <c r="F64" s="144"/>
      <c r="G64" s="121"/>
    </row>
  </sheetData>
  <mergeCells count="15">
    <mergeCell ref="A57:I57"/>
    <mergeCell ref="G35:I38"/>
    <mergeCell ref="C30:D30"/>
    <mergeCell ref="A21:J21"/>
    <mergeCell ref="A39:J39"/>
    <mergeCell ref="B18:B19"/>
    <mergeCell ref="A22:E22"/>
    <mergeCell ref="B24:G24"/>
    <mergeCell ref="A32:A33"/>
    <mergeCell ref="C1:H1"/>
    <mergeCell ref="C2:H2"/>
    <mergeCell ref="A14:B15"/>
    <mergeCell ref="C14:C15"/>
    <mergeCell ref="G14:G15"/>
    <mergeCell ref="A9:I9"/>
  </mergeCells>
  <phoneticPr fontId="9" type="noConversion"/>
  <pageMargins left="0.19685039370078741" right="0.19685039370078741" top="0.19685039370078741" bottom="0.19685039370078741" header="0.51181102362204722" footer="0.51181102362204722"/>
  <pageSetup paperSize="9" scale="4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X239"/>
  <sheetViews>
    <sheetView topLeftCell="A13" workbookViewId="0">
      <selection activeCell="E107" sqref="E107"/>
    </sheetView>
  </sheetViews>
  <sheetFormatPr baseColWidth="10" defaultColWidth="9.140625" defaultRowHeight="12.75" x14ac:dyDescent="0.2"/>
  <cols>
    <col min="1" max="1" width="14.5703125" customWidth="1"/>
    <col min="2" max="2" width="12.140625" customWidth="1"/>
    <col min="3" max="3" width="18.42578125" customWidth="1"/>
    <col min="4" max="4" width="15.28515625" customWidth="1"/>
    <col min="5" max="11" width="12.7109375" customWidth="1"/>
    <col min="12" max="12" width="16" customWidth="1"/>
    <col min="13" max="16" width="12.7109375" customWidth="1"/>
    <col min="17" max="17" width="12.28515625" customWidth="1"/>
    <col min="18" max="18" width="13.7109375" customWidth="1"/>
    <col min="19" max="20" width="12.28515625" customWidth="1"/>
  </cols>
  <sheetData>
    <row r="3" spans="1:20" ht="38.25" customHeight="1" x14ac:dyDescent="0.2">
      <c r="A3" s="8" t="s">
        <v>44</v>
      </c>
      <c r="B3" s="9" t="s">
        <v>41</v>
      </c>
      <c r="C3" s="10">
        <v>75000</v>
      </c>
      <c r="D3" s="9" t="s">
        <v>42</v>
      </c>
    </row>
    <row r="4" spans="1:20" ht="42.75" customHeight="1" x14ac:dyDescent="0.2">
      <c r="A4" s="8" t="s">
        <v>47</v>
      </c>
      <c r="B4" s="9" t="s">
        <v>41</v>
      </c>
      <c r="C4" s="10">
        <v>700000</v>
      </c>
      <c r="D4" s="9" t="s">
        <v>42</v>
      </c>
    </row>
    <row r="5" spans="1:20" x14ac:dyDescent="0.2">
      <c r="A5" s="9" t="s">
        <v>55</v>
      </c>
      <c r="B5" s="9" t="s">
        <v>41</v>
      </c>
      <c r="C5" s="10">
        <v>50000</v>
      </c>
      <c r="D5" s="9" t="s">
        <v>42</v>
      </c>
    </row>
    <row r="6" spans="1:20" x14ac:dyDescent="0.2">
      <c r="A6" s="9" t="s">
        <v>57</v>
      </c>
      <c r="B6" s="9" t="s">
        <v>41</v>
      </c>
      <c r="C6" s="10">
        <v>70000</v>
      </c>
      <c r="D6" s="9" t="s">
        <v>42</v>
      </c>
      <c r="F6">
        <f>(50000*500+70000*200+800*50000)/24</f>
        <v>3291666.6666666665</v>
      </c>
    </row>
    <row r="7" spans="1:20" x14ac:dyDescent="0.2">
      <c r="A7" s="9" t="s">
        <v>56</v>
      </c>
      <c r="B7" s="9" t="s">
        <v>41</v>
      </c>
      <c r="C7" s="10">
        <v>64500</v>
      </c>
      <c r="D7" s="9" t="s">
        <v>42</v>
      </c>
    </row>
    <row r="8" spans="1:20" x14ac:dyDescent="0.2">
      <c r="A8" s="9" t="s">
        <v>58</v>
      </c>
      <c r="B8" s="9" t="s">
        <v>41</v>
      </c>
      <c r="C8" s="10">
        <v>50000</v>
      </c>
      <c r="D8" s="9" t="s">
        <v>42</v>
      </c>
    </row>
    <row r="9" spans="1:20" x14ac:dyDescent="0.2">
      <c r="A9" s="9" t="s">
        <v>43</v>
      </c>
      <c r="B9" s="9" t="s">
        <v>41</v>
      </c>
      <c r="C9" s="10">
        <v>160000</v>
      </c>
      <c r="D9" s="9" t="s">
        <v>42</v>
      </c>
    </row>
    <row r="11" spans="1:20" ht="15.75" x14ac:dyDescent="0.25">
      <c r="A11" s="6" t="s">
        <v>61</v>
      </c>
    </row>
    <row r="13" spans="1:20" ht="38.25" x14ac:dyDescent="0.2">
      <c r="C13" s="88" t="s">
        <v>69</v>
      </c>
      <c r="D13" s="88" t="s">
        <v>70</v>
      </c>
      <c r="E13" s="88" t="s">
        <v>73</v>
      </c>
      <c r="F13" s="88" t="s">
        <v>71</v>
      </c>
      <c r="G13" s="88" t="s">
        <v>72</v>
      </c>
      <c r="H13" s="88" t="s">
        <v>74</v>
      </c>
      <c r="I13" s="5"/>
      <c r="J13" s="5"/>
      <c r="K13" s="21" t="s">
        <v>60</v>
      </c>
      <c r="L13" s="21" t="s">
        <v>62</v>
      </c>
      <c r="M13" s="21" t="s">
        <v>63</v>
      </c>
      <c r="N13" s="21" t="s">
        <v>64</v>
      </c>
      <c r="O13" s="21" t="s">
        <v>75</v>
      </c>
      <c r="P13" s="21"/>
      <c r="Q13" s="23" t="s">
        <v>51</v>
      </c>
      <c r="R13" s="28" t="s">
        <v>59</v>
      </c>
      <c r="S13" s="28"/>
      <c r="T13" s="28" t="s">
        <v>53</v>
      </c>
    </row>
    <row r="14" spans="1:20" x14ac:dyDescent="0.2">
      <c r="R14" s="29"/>
      <c r="S14" s="29"/>
      <c r="T14" s="29"/>
    </row>
    <row r="15" spans="1:20" x14ac:dyDescent="0.2">
      <c r="R15" s="29"/>
      <c r="S15" s="29"/>
      <c r="T15" s="29"/>
    </row>
    <row r="16" spans="1:20" x14ac:dyDescent="0.2">
      <c r="B16" s="20">
        <v>0.20833333333333334</v>
      </c>
      <c r="C16" s="19"/>
      <c r="D16" s="3"/>
      <c r="E16" s="19"/>
      <c r="F16" s="19"/>
      <c r="G16" s="19"/>
      <c r="H16" s="22"/>
      <c r="I16" s="19"/>
      <c r="J16" s="19"/>
      <c r="K16" s="22"/>
      <c r="L16" s="22"/>
      <c r="M16" s="22"/>
      <c r="N16" s="24"/>
      <c r="O16" s="22"/>
      <c r="P16" s="3"/>
      <c r="Q16" s="25"/>
      <c r="R16" s="41"/>
      <c r="S16" s="41"/>
      <c r="T16" s="41"/>
    </row>
    <row r="17" spans="2:20" x14ac:dyDescent="0.2">
      <c r="B17" s="20">
        <v>0.21527777777777779</v>
      </c>
      <c r="C17" s="19"/>
      <c r="D17" s="3"/>
      <c r="E17" s="19"/>
      <c r="F17" s="19"/>
      <c r="G17" s="19"/>
      <c r="H17" s="22"/>
      <c r="I17" s="19"/>
      <c r="J17" s="19"/>
      <c r="K17" s="22"/>
      <c r="L17" s="22"/>
      <c r="M17" s="22"/>
      <c r="N17" s="24"/>
      <c r="O17" s="22"/>
      <c r="P17" s="3"/>
      <c r="Q17" s="25"/>
      <c r="R17" s="41"/>
      <c r="S17" s="41"/>
      <c r="T17" s="41"/>
    </row>
    <row r="18" spans="2:20" x14ac:dyDescent="0.2">
      <c r="B18" s="20">
        <v>0.22222222222222199</v>
      </c>
      <c r="C18" s="19"/>
      <c r="D18" s="3"/>
      <c r="E18" s="19"/>
      <c r="F18" s="19"/>
      <c r="G18" s="19"/>
      <c r="H18" s="22"/>
      <c r="I18" s="19"/>
      <c r="J18" s="19"/>
      <c r="K18" s="22"/>
      <c r="L18" s="22"/>
      <c r="M18" s="22"/>
      <c r="N18" s="24"/>
      <c r="O18" s="22"/>
      <c r="P18" s="3"/>
      <c r="Q18" s="25"/>
      <c r="R18" s="41"/>
      <c r="S18" s="41"/>
      <c r="T18" s="41"/>
    </row>
    <row r="19" spans="2:20" x14ac:dyDescent="0.2">
      <c r="B19" s="20">
        <v>0.22916666666666699</v>
      </c>
      <c r="C19" s="19"/>
      <c r="D19" s="3"/>
      <c r="E19" s="19"/>
      <c r="F19" s="19"/>
      <c r="G19" s="19"/>
      <c r="H19" s="22"/>
      <c r="I19" s="19"/>
      <c r="J19" s="19"/>
      <c r="K19" s="22"/>
      <c r="L19" s="22"/>
      <c r="M19" s="22"/>
      <c r="N19" s="24"/>
      <c r="O19" s="22"/>
      <c r="P19" s="3"/>
      <c r="Q19" s="25"/>
      <c r="R19" s="41"/>
      <c r="S19" s="41"/>
      <c r="T19" s="41"/>
    </row>
    <row r="20" spans="2:20" x14ac:dyDescent="0.2">
      <c r="B20" s="20">
        <v>0.23611111111111099</v>
      </c>
      <c r="C20" s="19"/>
      <c r="D20" s="3"/>
      <c r="E20" s="19"/>
      <c r="F20" s="19"/>
      <c r="G20" s="19"/>
      <c r="H20" s="22"/>
      <c r="I20" s="19"/>
      <c r="J20" s="19"/>
      <c r="K20" s="22"/>
      <c r="L20" s="22"/>
      <c r="M20" s="22"/>
      <c r="N20" s="24"/>
      <c r="O20" s="22"/>
      <c r="P20" s="3"/>
      <c r="Q20" s="25"/>
      <c r="R20" s="30"/>
      <c r="S20" s="30"/>
      <c r="T20" s="30"/>
    </row>
    <row r="21" spans="2:20" x14ac:dyDescent="0.2">
      <c r="B21" s="20">
        <v>0.243055555555556</v>
      </c>
      <c r="C21" s="19"/>
      <c r="D21" s="3"/>
      <c r="E21" s="19"/>
      <c r="F21" s="19"/>
      <c r="G21" s="19"/>
      <c r="H21" s="22"/>
      <c r="I21" s="19"/>
      <c r="J21" s="19"/>
      <c r="K21" s="22"/>
      <c r="L21" s="22"/>
      <c r="M21" s="22"/>
      <c r="N21" s="24"/>
      <c r="O21" s="22"/>
      <c r="P21" s="3"/>
      <c r="Q21" s="25"/>
      <c r="R21" s="30"/>
      <c r="S21" s="30"/>
      <c r="T21" s="30"/>
    </row>
    <row r="22" spans="2:20" x14ac:dyDescent="0.2">
      <c r="B22" s="20">
        <v>0.25</v>
      </c>
      <c r="C22" s="19">
        <v>72.136032104492188</v>
      </c>
      <c r="D22" s="3">
        <v>22.462919235229492</v>
      </c>
      <c r="E22" s="19">
        <f>SQRT(SUM(POWER(C22,2),POWER(D22,2)))</f>
        <v>75.552563612022922</v>
      </c>
      <c r="F22" s="19">
        <v>59.798130035400391</v>
      </c>
      <c r="G22" s="19">
        <v>-0.20345313847064972</v>
      </c>
      <c r="H22" s="19">
        <f>SQRT(SUM(POWER(F22,2),POWER(G22,2)))</f>
        <v>59.798476142040677</v>
      </c>
      <c r="I22" s="19"/>
      <c r="J22" s="19"/>
      <c r="K22" s="22">
        <f t="shared" ref="K22:K85" si="0">SUM(I22:J22)</f>
        <v>0</v>
      </c>
      <c r="L22" s="22">
        <v>6</v>
      </c>
      <c r="M22" s="22">
        <v>8.8000000000000007</v>
      </c>
      <c r="N22" s="24">
        <v>8.8000000000000007</v>
      </c>
      <c r="O22" s="22">
        <f>SQRT(SUM(POWER(SUM((C22+F22),-Q22),2),POWER((D22+G22),2)))</f>
        <v>110.59735312142553</v>
      </c>
      <c r="P22" s="3"/>
      <c r="Q22" s="25">
        <f>SUM(L22:N22)</f>
        <v>23.6</v>
      </c>
      <c r="R22" s="30">
        <f>IF(O22&gt;95,(O22-95)*C22/E22,"Aucun délestage")</f>
        <v>14.892031609807713</v>
      </c>
      <c r="S22" s="30"/>
      <c r="T22" s="30"/>
    </row>
    <row r="23" spans="2:20" x14ac:dyDescent="0.2">
      <c r="B23" s="20">
        <v>0.25694444444444398</v>
      </c>
      <c r="C23" s="19">
        <v>72.69866943359375</v>
      </c>
      <c r="D23" s="3">
        <v>22.422731399536133</v>
      </c>
      <c r="E23" s="19">
        <f t="shared" ref="E23:E86" si="1">SQRT(SUM(POWER(C23,2),POWER(D23,2)))</f>
        <v>76.07808765229764</v>
      </c>
      <c r="F23" s="19">
        <v>60.079452514648438</v>
      </c>
      <c r="G23" s="19">
        <v>3.7678495049476624E-2</v>
      </c>
      <c r="H23" s="19">
        <f t="shared" ref="H23:H86" si="2">SQRT(SUM(POWER(F23,2),POWER(G23,2)))</f>
        <v>60.079464329576751</v>
      </c>
      <c r="I23" s="19"/>
      <c r="J23" s="19"/>
      <c r="K23" s="22">
        <f t="shared" si="0"/>
        <v>0</v>
      </c>
      <c r="L23" s="22">
        <v>6</v>
      </c>
      <c r="M23" s="22">
        <v>8.8000000000000007</v>
      </c>
      <c r="N23" s="24">
        <v>8.8000000000000007</v>
      </c>
      <c r="O23" s="22">
        <f t="shared" ref="O23:O86" si="3">SQRT(SUM(POWER(SUM((C23+F23),-Q23),2),POWER((D23+G23),2)))</f>
        <v>111.46448907512223</v>
      </c>
      <c r="P23" s="3"/>
      <c r="Q23" s="25">
        <f t="shared" ref="Q23:Q86" si="4">SUM(L23:N23)</f>
        <v>23.6</v>
      </c>
      <c r="R23" s="30">
        <f t="shared" ref="R23:R86" si="5">IF(O23&gt;95,(O23-95)*C23/E23,"Aucun délestage")</f>
        <v>15.733130072035632</v>
      </c>
      <c r="S23" s="30"/>
      <c r="T23" s="30"/>
    </row>
    <row r="24" spans="2:20" x14ac:dyDescent="0.2">
      <c r="B24" s="20">
        <v>0.26388888888888901</v>
      </c>
      <c r="C24" s="19">
        <v>72.457542419433594</v>
      </c>
      <c r="D24" s="3">
        <v>21.819900512695313</v>
      </c>
      <c r="E24" s="19">
        <f t="shared" si="1"/>
        <v>75.671682364329257</v>
      </c>
      <c r="F24" s="19">
        <v>60.441150665283203</v>
      </c>
      <c r="G24" s="19">
        <v>0.64050751924514771</v>
      </c>
      <c r="H24" s="19">
        <f t="shared" si="2"/>
        <v>60.444544366102008</v>
      </c>
      <c r="I24" s="19"/>
      <c r="J24" s="19"/>
      <c r="K24" s="22">
        <f t="shared" si="0"/>
        <v>0</v>
      </c>
      <c r="L24" s="22">
        <v>6</v>
      </c>
      <c r="M24" s="22">
        <v>8.8000000000000007</v>
      </c>
      <c r="N24" s="24">
        <v>8.8000000000000007</v>
      </c>
      <c r="O24" s="22">
        <f t="shared" si="3"/>
        <v>111.58258931835368</v>
      </c>
      <c r="P24" s="3"/>
      <c r="Q24" s="25">
        <f t="shared" si="4"/>
        <v>23.6</v>
      </c>
      <c r="R24" s="30">
        <f t="shared" si="5"/>
        <v>15.878247072316279</v>
      </c>
      <c r="S24" s="30"/>
      <c r="T24" s="30"/>
    </row>
    <row r="25" spans="2:20" x14ac:dyDescent="0.2">
      <c r="B25" s="20">
        <v>0.27083333333333298</v>
      </c>
      <c r="C25" s="19">
        <v>73.462257385253906</v>
      </c>
      <c r="D25" s="3">
        <v>23.507822036743164</v>
      </c>
      <c r="E25" s="19">
        <f t="shared" si="1"/>
        <v>77.131841395421645</v>
      </c>
      <c r="F25" s="19">
        <v>61.405673980712891</v>
      </c>
      <c r="G25" s="19">
        <v>1.9667314291000366</v>
      </c>
      <c r="H25" s="19">
        <f t="shared" si="2"/>
        <v>61.437161633166369</v>
      </c>
      <c r="I25" s="19"/>
      <c r="J25" s="19"/>
      <c r="K25" s="22">
        <f t="shared" si="0"/>
        <v>0</v>
      </c>
      <c r="L25" s="22">
        <v>6</v>
      </c>
      <c r="M25" s="22">
        <v>8.8000000000000007</v>
      </c>
      <c r="N25" s="24">
        <v>8.8000000000000007</v>
      </c>
      <c r="O25" s="22">
        <f t="shared" si="3"/>
        <v>114.14685902268884</v>
      </c>
      <c r="P25" s="3"/>
      <c r="Q25" s="25">
        <f t="shared" si="4"/>
        <v>23.6</v>
      </c>
      <c r="R25" s="30">
        <f t="shared" si="5"/>
        <v>18.23593810541945</v>
      </c>
      <c r="S25" s="30"/>
      <c r="T25" s="30"/>
    </row>
    <row r="26" spans="2:20" x14ac:dyDescent="0.2">
      <c r="B26" s="20">
        <v>0.27777777777777801</v>
      </c>
      <c r="C26" s="19">
        <v>73.341690063476563</v>
      </c>
      <c r="D26" s="3">
        <v>23.628389358520508</v>
      </c>
      <c r="E26" s="19">
        <f t="shared" si="1"/>
        <v>77.053905060320602</v>
      </c>
      <c r="F26" s="19">
        <v>61.043979644775391</v>
      </c>
      <c r="G26" s="19">
        <v>0.84145051240921021</v>
      </c>
      <c r="H26" s="19">
        <f t="shared" si="2"/>
        <v>61.04977878613964</v>
      </c>
      <c r="I26" s="19"/>
      <c r="J26" s="19"/>
      <c r="K26" s="22">
        <f t="shared" si="0"/>
        <v>0</v>
      </c>
      <c r="L26" s="22">
        <v>6</v>
      </c>
      <c r="M26" s="22">
        <v>8.8000000000000007</v>
      </c>
      <c r="N26" s="24">
        <v>8.8000000000000007</v>
      </c>
      <c r="O26" s="22">
        <f t="shared" si="3"/>
        <v>113.45588427232339</v>
      </c>
      <c r="P26" s="3"/>
      <c r="Q26" s="25">
        <f t="shared" si="4"/>
        <v>23.6</v>
      </c>
      <c r="R26" s="30">
        <f t="shared" si="5"/>
        <v>17.566737767391508</v>
      </c>
      <c r="S26" s="30"/>
      <c r="T26" s="30"/>
    </row>
    <row r="27" spans="2:20" x14ac:dyDescent="0.2">
      <c r="B27" s="20">
        <v>0.28472222222222199</v>
      </c>
      <c r="C27" s="19">
        <v>71.854713439941406</v>
      </c>
      <c r="D27" s="3">
        <v>22.462919235229492</v>
      </c>
      <c r="E27" s="19">
        <f t="shared" si="1"/>
        <v>75.284012805538865</v>
      </c>
      <c r="F27" s="19">
        <v>62.410388946533203</v>
      </c>
      <c r="G27" s="19">
        <v>0.84145051240921021</v>
      </c>
      <c r="H27" s="19">
        <f t="shared" si="2"/>
        <v>62.416061133512642</v>
      </c>
      <c r="I27" s="19"/>
      <c r="J27" s="19"/>
      <c r="K27" s="22">
        <f t="shared" si="0"/>
        <v>0</v>
      </c>
      <c r="L27" s="22">
        <v>6</v>
      </c>
      <c r="M27" s="22">
        <v>8.8000000000000007</v>
      </c>
      <c r="N27" s="24">
        <v>8.8000000000000007</v>
      </c>
      <c r="O27" s="22">
        <f t="shared" si="3"/>
        <v>113.09225674441008</v>
      </c>
      <c r="P27" s="3"/>
      <c r="Q27" s="25">
        <f t="shared" si="4"/>
        <v>23.6</v>
      </c>
      <c r="R27" s="30">
        <f t="shared" si="5"/>
        <v>17.268127393918455</v>
      </c>
      <c r="S27" s="30"/>
      <c r="T27" s="30"/>
    </row>
    <row r="28" spans="2:20" x14ac:dyDescent="0.2">
      <c r="B28" s="20">
        <v>0.29166666666666702</v>
      </c>
      <c r="C28" s="19">
        <v>71.814521789550781</v>
      </c>
      <c r="D28" s="3">
        <v>21.257261276245117</v>
      </c>
      <c r="E28" s="19">
        <f t="shared" si="1"/>
        <v>74.894570543053476</v>
      </c>
      <c r="F28" s="19">
        <v>61.164543151855469</v>
      </c>
      <c r="G28" s="19">
        <v>-0.52496194839477539</v>
      </c>
      <c r="H28" s="19">
        <f t="shared" si="2"/>
        <v>61.166795927385735</v>
      </c>
      <c r="I28" s="19"/>
      <c r="J28" s="19"/>
      <c r="K28" s="22">
        <f t="shared" si="0"/>
        <v>0</v>
      </c>
      <c r="L28" s="22">
        <v>6</v>
      </c>
      <c r="M28" s="22">
        <v>8.8000000000000007</v>
      </c>
      <c r="N28" s="24">
        <v>8.8000000000000007</v>
      </c>
      <c r="O28" s="22">
        <f t="shared" si="3"/>
        <v>111.32658300188662</v>
      </c>
      <c r="P28" s="3"/>
      <c r="Q28" s="25">
        <f t="shared" si="4"/>
        <v>23.6</v>
      </c>
      <c r="R28" s="30">
        <f t="shared" si="5"/>
        <v>15.655150196286755</v>
      </c>
      <c r="S28" s="30"/>
      <c r="T28" s="30"/>
    </row>
    <row r="29" spans="2:20" x14ac:dyDescent="0.2">
      <c r="B29" s="20">
        <v>0.29861111111111099</v>
      </c>
      <c r="C29" s="19">
        <v>72.216407775878906</v>
      </c>
      <c r="D29" s="3">
        <v>21.739524841308594</v>
      </c>
      <c r="E29" s="19">
        <f t="shared" si="1"/>
        <v>75.417613939834354</v>
      </c>
      <c r="F29" s="19">
        <v>60.802845001220703</v>
      </c>
      <c r="G29" s="19">
        <v>-0.24364173412322998</v>
      </c>
      <c r="H29" s="19">
        <f t="shared" si="2"/>
        <v>60.803333144960696</v>
      </c>
      <c r="I29" s="19"/>
      <c r="J29" s="19"/>
      <c r="K29" s="22">
        <f t="shared" si="0"/>
        <v>0</v>
      </c>
      <c r="L29" s="22">
        <v>6</v>
      </c>
      <c r="M29" s="22">
        <v>8.8000000000000007</v>
      </c>
      <c r="N29" s="24">
        <v>8.8000000000000007</v>
      </c>
      <c r="O29" s="22">
        <f t="shared" si="3"/>
        <v>111.51074328896118</v>
      </c>
      <c r="P29" s="3"/>
      <c r="Q29" s="25">
        <f t="shared" si="4"/>
        <v>23.6</v>
      </c>
      <c r="R29" s="30">
        <f t="shared" si="5"/>
        <v>15.809921684736549</v>
      </c>
      <c r="S29" s="30"/>
      <c r="T29" s="30"/>
    </row>
    <row r="30" spans="2:20" x14ac:dyDescent="0.2">
      <c r="B30" s="20">
        <v>0.30555555555555602</v>
      </c>
      <c r="C30" s="19">
        <v>72.417350769042969</v>
      </c>
      <c r="D30" s="3">
        <v>22.141410827636719</v>
      </c>
      <c r="E30" s="19">
        <f t="shared" si="1"/>
        <v>75.726578992087028</v>
      </c>
      <c r="F30" s="19">
        <v>60.642093658447266</v>
      </c>
      <c r="G30" s="19">
        <v>-0.96703660488128662</v>
      </c>
      <c r="H30" s="19">
        <f t="shared" si="2"/>
        <v>60.649803652403286</v>
      </c>
      <c r="I30" s="19"/>
      <c r="J30" s="19"/>
      <c r="K30" s="22">
        <f t="shared" si="0"/>
        <v>0</v>
      </c>
      <c r="L30" s="22">
        <v>6</v>
      </c>
      <c r="M30" s="22">
        <v>8.8000000000000007</v>
      </c>
      <c r="N30" s="24">
        <v>8.8000000000000007</v>
      </c>
      <c r="O30" s="22">
        <f t="shared" si="3"/>
        <v>111.4886725102605</v>
      </c>
      <c r="P30" s="3"/>
      <c r="Q30" s="25">
        <f t="shared" si="4"/>
        <v>23.6</v>
      </c>
      <c r="R30" s="30">
        <f t="shared" si="5"/>
        <v>15.768122590301928</v>
      </c>
      <c r="S30" s="30"/>
      <c r="T30" s="30"/>
    </row>
    <row r="31" spans="2:20" x14ac:dyDescent="0.2">
      <c r="B31" s="20">
        <v>0.3125</v>
      </c>
      <c r="C31" s="19">
        <v>72.457542419433594</v>
      </c>
      <c r="D31" s="3">
        <v>22.342353820800781</v>
      </c>
      <c r="E31" s="19">
        <f t="shared" si="1"/>
        <v>75.823981877225819</v>
      </c>
      <c r="F31" s="19">
        <v>60.481338500976563</v>
      </c>
      <c r="G31" s="19">
        <v>-1.6100542545318604</v>
      </c>
      <c r="H31" s="19">
        <f t="shared" si="2"/>
        <v>60.502765073773659</v>
      </c>
      <c r="I31" s="19"/>
      <c r="J31" s="19"/>
      <c r="K31" s="22">
        <f t="shared" si="0"/>
        <v>0</v>
      </c>
      <c r="L31" s="22">
        <v>6</v>
      </c>
      <c r="M31" s="22">
        <v>8.8000000000000007</v>
      </c>
      <c r="N31" s="24">
        <v>8.8000000000000007</v>
      </c>
      <c r="O31" s="22">
        <f t="shared" si="3"/>
        <v>111.28710224564726</v>
      </c>
      <c r="P31" s="3"/>
      <c r="Q31" s="25">
        <f t="shared" si="4"/>
        <v>23.6</v>
      </c>
      <c r="R31" s="30">
        <f t="shared" si="5"/>
        <v>15.563986124660325</v>
      </c>
      <c r="S31" s="30"/>
      <c r="T31" s="30"/>
    </row>
    <row r="32" spans="2:20" x14ac:dyDescent="0.2">
      <c r="B32" s="20">
        <v>0.31944444444444398</v>
      </c>
      <c r="C32" s="19">
        <v>72.256599426269531</v>
      </c>
      <c r="D32" s="3">
        <v>22.26197624206543</v>
      </c>
      <c r="E32" s="19">
        <f t="shared" si="1"/>
        <v>75.608278295770361</v>
      </c>
      <c r="F32" s="19">
        <v>59.47662353515625</v>
      </c>
      <c r="G32" s="19">
        <v>-1.4894883632659912</v>
      </c>
      <c r="H32" s="19">
        <f t="shared" si="2"/>
        <v>59.49527143166091</v>
      </c>
      <c r="I32" s="19"/>
      <c r="J32" s="19"/>
      <c r="K32" s="22">
        <f t="shared" si="0"/>
        <v>0</v>
      </c>
      <c r="L32" s="22">
        <v>6</v>
      </c>
      <c r="M32" s="22">
        <v>8.8000000000000007</v>
      </c>
      <c r="N32" s="24">
        <v>8.8000000000000007</v>
      </c>
      <c r="O32" s="22">
        <f t="shared" si="3"/>
        <v>110.11035446632751</v>
      </c>
      <c r="P32" s="3"/>
      <c r="Q32" s="25">
        <f t="shared" si="4"/>
        <v>23.6</v>
      </c>
      <c r="R32" s="30">
        <f t="shared" si="5"/>
        <v>14.440519668908365</v>
      </c>
      <c r="S32" s="30"/>
      <c r="T32" s="30"/>
    </row>
    <row r="33" spans="2:20" x14ac:dyDescent="0.2">
      <c r="B33" s="20">
        <v>0.32638888888888901</v>
      </c>
      <c r="C33" s="19">
        <v>72.457542419433594</v>
      </c>
      <c r="D33" s="3">
        <v>22.101221084594727</v>
      </c>
      <c r="E33" s="19">
        <f t="shared" si="1"/>
        <v>75.753279974494518</v>
      </c>
      <c r="F33" s="19">
        <v>59.356056213378906</v>
      </c>
      <c r="G33" s="19">
        <v>-1.4492998123168945</v>
      </c>
      <c r="H33" s="19">
        <f t="shared" si="2"/>
        <v>59.3737473901705</v>
      </c>
      <c r="I33" s="19"/>
      <c r="J33" s="19"/>
      <c r="K33" s="22">
        <f t="shared" si="0"/>
        <v>0</v>
      </c>
      <c r="L33" s="22">
        <v>6</v>
      </c>
      <c r="M33" s="22">
        <v>8.8000000000000007</v>
      </c>
      <c r="N33" s="24">
        <v>8.8000000000000007</v>
      </c>
      <c r="O33" s="22">
        <f t="shared" si="3"/>
        <v>110.16662280972309</v>
      </c>
      <c r="P33" s="3"/>
      <c r="Q33" s="25">
        <f t="shared" si="4"/>
        <v>23.6</v>
      </c>
      <c r="R33" s="30">
        <f t="shared" si="5"/>
        <v>14.506780643228421</v>
      </c>
      <c r="S33" s="30"/>
      <c r="T33" s="30"/>
    </row>
    <row r="34" spans="2:20" x14ac:dyDescent="0.2">
      <c r="B34" s="20">
        <v>0.33333333333333298</v>
      </c>
      <c r="C34" s="19">
        <v>72.658485412597656</v>
      </c>
      <c r="D34" s="3">
        <v>21.980655670166016</v>
      </c>
      <c r="E34" s="19">
        <f t="shared" si="1"/>
        <v>75.910504715375637</v>
      </c>
      <c r="F34" s="19">
        <v>59.516811370849609</v>
      </c>
      <c r="G34" s="19">
        <v>-1.3689225912094116</v>
      </c>
      <c r="H34" s="19">
        <f t="shared" si="2"/>
        <v>59.532552312277161</v>
      </c>
      <c r="I34" s="19"/>
      <c r="J34" s="19"/>
      <c r="K34" s="22">
        <f t="shared" si="0"/>
        <v>0</v>
      </c>
      <c r="L34" s="22">
        <v>6</v>
      </c>
      <c r="M34" s="22">
        <v>8.8000000000000007</v>
      </c>
      <c r="N34" s="24">
        <v>8.8000000000000007</v>
      </c>
      <c r="O34" s="22">
        <f t="shared" si="3"/>
        <v>110.51442716736946</v>
      </c>
      <c r="P34" s="3"/>
      <c r="Q34" s="25">
        <f t="shared" si="4"/>
        <v>23.6</v>
      </c>
      <c r="R34" s="30">
        <f t="shared" si="5"/>
        <v>14.849786393223622</v>
      </c>
      <c r="S34" s="30"/>
      <c r="T34" s="30"/>
    </row>
    <row r="35" spans="2:20" x14ac:dyDescent="0.2">
      <c r="B35" s="20">
        <v>0.34027777777777801</v>
      </c>
      <c r="C35" s="19">
        <v>72.69866943359375</v>
      </c>
      <c r="D35" s="3">
        <v>22.422731399536133</v>
      </c>
      <c r="E35" s="19">
        <f t="shared" si="1"/>
        <v>76.07808765229764</v>
      </c>
      <c r="F35" s="19">
        <v>59.637378692626953</v>
      </c>
      <c r="G35" s="19">
        <v>-1.2081681489944458</v>
      </c>
      <c r="H35" s="19">
        <f t="shared" si="2"/>
        <v>59.649615318156414</v>
      </c>
      <c r="I35" s="19"/>
      <c r="J35" s="19"/>
      <c r="K35" s="22">
        <f t="shared" si="0"/>
        <v>0</v>
      </c>
      <c r="L35" s="22">
        <v>6</v>
      </c>
      <c r="M35" s="22">
        <v>8.8000000000000007</v>
      </c>
      <c r="N35" s="24">
        <v>8.8000000000000007</v>
      </c>
      <c r="O35" s="22">
        <f t="shared" si="3"/>
        <v>110.78621690453656</v>
      </c>
      <c r="P35" s="3"/>
      <c r="Q35" s="25">
        <f t="shared" si="4"/>
        <v>23.6</v>
      </c>
      <c r="R35" s="30">
        <f t="shared" si="5"/>
        <v>15.084987014855033</v>
      </c>
      <c r="S35" s="30"/>
      <c r="T35" s="30"/>
    </row>
    <row r="36" spans="2:20" x14ac:dyDescent="0.2">
      <c r="B36" s="20">
        <v>0.34722222222222199</v>
      </c>
      <c r="C36" s="19">
        <v>72.417350769042969</v>
      </c>
      <c r="D36" s="3">
        <v>22.181598663330078</v>
      </c>
      <c r="E36" s="19">
        <f t="shared" si="1"/>
        <v>75.738339113474453</v>
      </c>
      <c r="F36" s="19">
        <v>59.356056213378906</v>
      </c>
      <c r="G36" s="19">
        <v>-1.4492998123168945</v>
      </c>
      <c r="H36" s="19">
        <f t="shared" si="2"/>
        <v>59.3737473901705</v>
      </c>
      <c r="I36" s="19"/>
      <c r="J36" s="19"/>
      <c r="K36" s="22">
        <f t="shared" si="0"/>
        <v>0</v>
      </c>
      <c r="L36" s="22">
        <v>6</v>
      </c>
      <c r="M36" s="22">
        <v>8.8000000000000007</v>
      </c>
      <c r="N36" s="24">
        <v>8.8000000000000007</v>
      </c>
      <c r="O36" s="22">
        <f t="shared" si="3"/>
        <v>110.14224527324836</v>
      </c>
      <c r="P36" s="3"/>
      <c r="Q36" s="25">
        <f t="shared" si="4"/>
        <v>23.6</v>
      </c>
      <c r="R36" s="30">
        <f t="shared" si="5"/>
        <v>14.478285373287552</v>
      </c>
      <c r="S36" s="30"/>
      <c r="T36" s="30"/>
    </row>
    <row r="37" spans="2:20" x14ac:dyDescent="0.2">
      <c r="B37" s="20">
        <v>0.35416666666666602</v>
      </c>
      <c r="C37" s="19">
        <v>71.97528076171875</v>
      </c>
      <c r="D37" s="3">
        <v>21.659147262573242</v>
      </c>
      <c r="E37" s="19">
        <f t="shared" si="1"/>
        <v>75.163553008556448</v>
      </c>
      <c r="F37" s="19">
        <v>59.275680541992188</v>
      </c>
      <c r="G37" s="19">
        <v>-1.248356819152832</v>
      </c>
      <c r="H37" s="19">
        <f t="shared" si="2"/>
        <v>59.28882439772471</v>
      </c>
      <c r="I37" s="19"/>
      <c r="J37" s="19"/>
      <c r="K37" s="22">
        <f t="shared" si="0"/>
        <v>0</v>
      </c>
      <c r="L37" s="22">
        <v>6</v>
      </c>
      <c r="M37" s="22">
        <v>8.8000000000000007</v>
      </c>
      <c r="N37" s="24">
        <v>8.8000000000000007</v>
      </c>
      <c r="O37" s="22">
        <f t="shared" si="3"/>
        <v>109.5688360627158</v>
      </c>
      <c r="P37" s="3"/>
      <c r="Q37" s="25">
        <f t="shared" si="4"/>
        <v>23.6</v>
      </c>
      <c r="R37" s="30">
        <f t="shared" si="5"/>
        <v>13.950858148843141</v>
      </c>
      <c r="S37" s="30"/>
      <c r="T37" s="30"/>
    </row>
    <row r="38" spans="2:20" x14ac:dyDescent="0.2">
      <c r="B38" s="20">
        <v>0.36111111111111099</v>
      </c>
      <c r="C38" s="19">
        <v>72.136032104492188</v>
      </c>
      <c r="D38" s="3">
        <v>21.538581848144531</v>
      </c>
      <c r="E38" s="19">
        <f t="shared" si="1"/>
        <v>75.282917290774193</v>
      </c>
      <c r="F38" s="19">
        <v>59.275680541992188</v>
      </c>
      <c r="G38" s="19">
        <v>-1.7708085775375366</v>
      </c>
      <c r="H38" s="19">
        <f t="shared" si="2"/>
        <v>59.302125313808034</v>
      </c>
      <c r="I38" s="19"/>
      <c r="J38" s="19"/>
      <c r="K38" s="22">
        <f t="shared" si="0"/>
        <v>0</v>
      </c>
      <c r="L38" s="22">
        <v>6</v>
      </c>
      <c r="M38" s="22">
        <v>8.8000000000000007</v>
      </c>
      <c r="N38" s="24">
        <v>8.8000000000000007</v>
      </c>
      <c r="O38" s="22">
        <f t="shared" si="3"/>
        <v>109.60898797017626</v>
      </c>
      <c r="P38" s="3"/>
      <c r="Q38" s="25">
        <f t="shared" si="4"/>
        <v>23.6</v>
      </c>
      <c r="R38" s="30">
        <f t="shared" si="5"/>
        <v>13.998320776550466</v>
      </c>
      <c r="S38" s="30"/>
      <c r="T38" s="30"/>
    </row>
    <row r="39" spans="2:20" x14ac:dyDescent="0.2">
      <c r="B39" s="20">
        <v>0.36805555555555503</v>
      </c>
      <c r="C39" s="19">
        <v>71.09112548828125</v>
      </c>
      <c r="D39" s="3">
        <v>21.377826690673828</v>
      </c>
      <c r="E39" s="19">
        <f t="shared" si="1"/>
        <v>74.235837687784183</v>
      </c>
      <c r="F39" s="19">
        <v>59.155113220214844</v>
      </c>
      <c r="G39" s="19">
        <v>-1.5698655843734741</v>
      </c>
      <c r="H39" s="19">
        <f t="shared" si="2"/>
        <v>59.175940195736963</v>
      </c>
      <c r="I39" s="19"/>
      <c r="J39" s="19"/>
      <c r="K39" s="22">
        <f t="shared" si="0"/>
        <v>0</v>
      </c>
      <c r="L39" s="22">
        <v>6</v>
      </c>
      <c r="M39" s="22">
        <v>8.8000000000000007</v>
      </c>
      <c r="N39" s="24">
        <v>8.8000000000000007</v>
      </c>
      <c r="O39" s="22">
        <f t="shared" si="3"/>
        <v>108.4701597392492</v>
      </c>
      <c r="P39" s="3"/>
      <c r="Q39" s="25">
        <f t="shared" si="4"/>
        <v>23.6</v>
      </c>
      <c r="R39" s="30">
        <f t="shared" si="5"/>
        <v>12.899548872844969</v>
      </c>
      <c r="S39" s="30"/>
      <c r="T39" s="30"/>
    </row>
    <row r="40" spans="2:20" x14ac:dyDescent="0.2">
      <c r="B40" s="20">
        <v>0.375</v>
      </c>
      <c r="C40" s="19">
        <v>67.192832946777344</v>
      </c>
      <c r="D40" s="3">
        <v>19.529151916503906</v>
      </c>
      <c r="E40" s="19">
        <f t="shared" si="1"/>
        <v>69.973313298652755</v>
      </c>
      <c r="F40" s="19">
        <v>60.722469329833984</v>
      </c>
      <c r="G40" s="19">
        <v>-0.6053391695022583</v>
      </c>
      <c r="H40" s="19">
        <f t="shared" si="2"/>
        <v>60.725486552375706</v>
      </c>
      <c r="I40" s="19"/>
      <c r="J40" s="19"/>
      <c r="K40" s="22">
        <f t="shared" si="0"/>
        <v>0</v>
      </c>
      <c r="L40" s="22">
        <v>6</v>
      </c>
      <c r="M40" s="22">
        <v>8.8000000000000007</v>
      </c>
      <c r="N40" s="24">
        <v>8.8000000000000007</v>
      </c>
      <c r="O40" s="22">
        <f t="shared" si="3"/>
        <v>106.01788989573588</v>
      </c>
      <c r="P40" s="3"/>
      <c r="Q40" s="25">
        <f t="shared" si="4"/>
        <v>23.6</v>
      </c>
      <c r="R40" s="30">
        <f t="shared" si="5"/>
        <v>10.580079751696147</v>
      </c>
      <c r="S40" s="30"/>
      <c r="T40" s="30"/>
    </row>
    <row r="41" spans="2:20" x14ac:dyDescent="0.2">
      <c r="B41" s="20">
        <v>0.38194444444444398</v>
      </c>
      <c r="C41" s="19">
        <v>66.871322631835938</v>
      </c>
      <c r="D41" s="3">
        <v>19.448774337768555</v>
      </c>
      <c r="E41" s="19">
        <f t="shared" si="1"/>
        <v>69.64214682053202</v>
      </c>
      <c r="F41" s="19">
        <v>60.240207672119141</v>
      </c>
      <c r="G41" s="19">
        <v>-0.72590500116348267</v>
      </c>
      <c r="H41" s="19">
        <f t="shared" si="2"/>
        <v>60.244581154247854</v>
      </c>
      <c r="I41" s="19"/>
      <c r="J41" s="19"/>
      <c r="K41" s="22">
        <f t="shared" si="0"/>
        <v>0</v>
      </c>
      <c r="L41" s="22">
        <v>6</v>
      </c>
      <c r="M41" s="22">
        <v>8.8000000000000007</v>
      </c>
      <c r="N41" s="24">
        <v>8.8000000000000007</v>
      </c>
      <c r="O41" s="22">
        <f t="shared" si="3"/>
        <v>105.19117235805578</v>
      </c>
      <c r="P41" s="3"/>
      <c r="Q41" s="25">
        <f t="shared" si="4"/>
        <v>23.6</v>
      </c>
      <c r="R41" s="30">
        <f t="shared" si="5"/>
        <v>9.7857002672306503</v>
      </c>
      <c r="S41" s="30"/>
      <c r="T41" s="30"/>
    </row>
    <row r="42" spans="2:20" x14ac:dyDescent="0.2">
      <c r="B42" s="20">
        <v>0.38888888888888901</v>
      </c>
      <c r="C42" s="19">
        <v>66.389060974121094</v>
      </c>
      <c r="D42" s="3">
        <v>18.966510772705078</v>
      </c>
      <c r="E42" s="19">
        <f t="shared" si="1"/>
        <v>69.045173241267975</v>
      </c>
      <c r="F42" s="19">
        <v>60.2803955078125</v>
      </c>
      <c r="G42" s="19">
        <v>-0.36420753598213196</v>
      </c>
      <c r="H42" s="19">
        <f t="shared" si="2"/>
        <v>60.281495748758324</v>
      </c>
      <c r="I42" s="19"/>
      <c r="J42" s="19"/>
      <c r="K42" s="22">
        <f t="shared" si="0"/>
        <v>0</v>
      </c>
      <c r="L42" s="22">
        <v>6</v>
      </c>
      <c r="M42" s="22">
        <v>8.8000000000000007</v>
      </c>
      <c r="N42" s="24">
        <v>8.8000000000000007</v>
      </c>
      <c r="O42" s="22">
        <f t="shared" si="3"/>
        <v>104.73470554306341</v>
      </c>
      <c r="P42" s="3"/>
      <c r="Q42" s="25">
        <f t="shared" si="4"/>
        <v>23.6</v>
      </c>
      <c r="R42" s="30">
        <f t="shared" si="5"/>
        <v>9.3602192524773642</v>
      </c>
      <c r="S42" s="30"/>
      <c r="T42" s="30"/>
    </row>
    <row r="43" spans="2:20" x14ac:dyDescent="0.2">
      <c r="B43" s="20">
        <v>0.39583333333333298</v>
      </c>
      <c r="C43" s="19">
        <v>63.937557220458984</v>
      </c>
      <c r="D43" s="3">
        <v>17.801040649414063</v>
      </c>
      <c r="E43" s="19">
        <f t="shared" si="1"/>
        <v>66.369332311855899</v>
      </c>
      <c r="F43" s="19">
        <v>60.642093658447266</v>
      </c>
      <c r="G43" s="19">
        <v>-2.5101092178374529E-3</v>
      </c>
      <c r="H43" s="19">
        <f t="shared" si="2"/>
        <v>60.642093710396729</v>
      </c>
      <c r="I43" s="19"/>
      <c r="J43" s="19"/>
      <c r="K43" s="22">
        <f t="shared" si="0"/>
        <v>0</v>
      </c>
      <c r="L43" s="22">
        <v>6</v>
      </c>
      <c r="M43" s="22">
        <v>8.8000000000000007</v>
      </c>
      <c r="N43" s="24">
        <v>8.8000000000000007</v>
      </c>
      <c r="O43" s="22">
        <f t="shared" si="3"/>
        <v>102.53622570104719</v>
      </c>
      <c r="P43" s="3"/>
      <c r="Q43" s="25">
        <f t="shared" si="4"/>
        <v>23.6</v>
      </c>
      <c r="R43" s="30">
        <f t="shared" si="5"/>
        <v>7.2600980784753668</v>
      </c>
      <c r="S43" s="30"/>
      <c r="T43" s="30"/>
    </row>
    <row r="44" spans="2:20" x14ac:dyDescent="0.2">
      <c r="B44" s="20">
        <v>0.40277777777777801</v>
      </c>
      <c r="C44" s="19">
        <v>64.821708679199219</v>
      </c>
      <c r="D44" s="3">
        <v>17.680475234985352</v>
      </c>
      <c r="E44" s="19">
        <f t="shared" si="1"/>
        <v>67.189680164634666</v>
      </c>
      <c r="F44" s="19">
        <v>58.512096405029297</v>
      </c>
      <c r="G44" s="19">
        <v>-0.92684799432754517</v>
      </c>
      <c r="H44" s="19">
        <f t="shared" si="2"/>
        <v>58.519436710515521</v>
      </c>
      <c r="I44" s="19"/>
      <c r="J44" s="19"/>
      <c r="K44" s="22">
        <f t="shared" si="0"/>
        <v>0</v>
      </c>
      <c r="L44" s="22">
        <v>6</v>
      </c>
      <c r="M44" s="22">
        <v>8.8000000000000007</v>
      </c>
      <c r="N44" s="24">
        <v>8.8000000000000007</v>
      </c>
      <c r="O44" s="22">
        <f t="shared" si="3"/>
        <v>101.13118165184167</v>
      </c>
      <c r="P44" s="3"/>
      <c r="Q44" s="25">
        <f t="shared" si="4"/>
        <v>23.6</v>
      </c>
      <c r="R44" s="30">
        <f t="shared" si="5"/>
        <v>5.9150999070259278</v>
      </c>
      <c r="S44" s="30"/>
      <c r="T44" s="30"/>
    </row>
    <row r="45" spans="2:20" x14ac:dyDescent="0.2">
      <c r="B45" s="20">
        <v>0.40972222222222199</v>
      </c>
      <c r="C45" s="19">
        <v>65.143218994140625</v>
      </c>
      <c r="D45" s="3">
        <v>17.841230392456055</v>
      </c>
      <c r="E45" s="19">
        <f t="shared" si="1"/>
        <v>67.542197793936651</v>
      </c>
      <c r="F45" s="19">
        <v>58.391529083251953</v>
      </c>
      <c r="G45" s="19">
        <v>-0.6053391695022583</v>
      </c>
      <c r="H45" s="19">
        <f t="shared" si="2"/>
        <v>58.394666744407338</v>
      </c>
      <c r="I45" s="19"/>
      <c r="J45" s="19"/>
      <c r="K45" s="22">
        <f t="shared" si="0"/>
        <v>0</v>
      </c>
      <c r="L45" s="22">
        <v>6</v>
      </c>
      <c r="M45" s="22">
        <v>8.8000000000000007</v>
      </c>
      <c r="N45" s="24">
        <v>8.8000000000000007</v>
      </c>
      <c r="O45" s="22">
        <f t="shared" si="3"/>
        <v>101.41020569716549</v>
      </c>
      <c r="P45" s="3"/>
      <c r="Q45" s="25">
        <f t="shared" si="4"/>
        <v>23.6</v>
      </c>
      <c r="R45" s="30">
        <f t="shared" si="5"/>
        <v>6.18252658585277</v>
      </c>
      <c r="S45" s="30"/>
      <c r="T45" s="30"/>
    </row>
    <row r="46" spans="2:20" x14ac:dyDescent="0.2">
      <c r="B46" s="20">
        <v>0.41666666666666602</v>
      </c>
      <c r="C46" s="19">
        <v>65.062835693359375</v>
      </c>
      <c r="D46" s="3">
        <v>18.202926635742188</v>
      </c>
      <c r="E46" s="19">
        <f t="shared" si="1"/>
        <v>67.561225022695453</v>
      </c>
      <c r="F46" s="19">
        <v>56.62322998046875</v>
      </c>
      <c r="G46" s="19">
        <v>-1.7306200265884399</v>
      </c>
      <c r="H46" s="19">
        <f t="shared" si="2"/>
        <v>56.649670953126325</v>
      </c>
      <c r="I46" s="19"/>
      <c r="J46" s="19"/>
      <c r="K46" s="22">
        <f t="shared" si="0"/>
        <v>0</v>
      </c>
      <c r="L46" s="22">
        <v>6</v>
      </c>
      <c r="M46" s="22">
        <v>8.8000000000000007</v>
      </c>
      <c r="N46" s="24">
        <v>8.8000000000000007</v>
      </c>
      <c r="O46" s="22">
        <f t="shared" si="3"/>
        <v>99.459605691941562</v>
      </c>
      <c r="P46" s="3"/>
      <c r="Q46" s="25">
        <f t="shared" si="4"/>
        <v>23.6</v>
      </c>
      <c r="R46" s="30">
        <f t="shared" si="5"/>
        <v>4.2946911086128781</v>
      </c>
      <c r="S46" s="30"/>
      <c r="T46" s="30"/>
    </row>
    <row r="47" spans="2:20" x14ac:dyDescent="0.2">
      <c r="B47" s="20">
        <v>0.42361111111111099</v>
      </c>
      <c r="C47" s="19">
        <v>64.821708679199219</v>
      </c>
      <c r="D47" s="3">
        <v>18.082361221313477</v>
      </c>
      <c r="E47" s="19">
        <f t="shared" si="1"/>
        <v>67.296550457129911</v>
      </c>
      <c r="F47" s="19">
        <v>56.422286987304688</v>
      </c>
      <c r="G47" s="19">
        <v>-1.6904313564300537</v>
      </c>
      <c r="H47" s="19">
        <f t="shared" si="2"/>
        <v>56.447604263144541</v>
      </c>
      <c r="I47" s="19"/>
      <c r="J47" s="19"/>
      <c r="K47" s="22">
        <f t="shared" si="0"/>
        <v>0</v>
      </c>
      <c r="L47" s="22">
        <v>6</v>
      </c>
      <c r="M47" s="22">
        <v>8.8000000000000007</v>
      </c>
      <c r="N47" s="24">
        <v>8.8000000000000007</v>
      </c>
      <c r="O47" s="22">
        <f t="shared" si="3"/>
        <v>99.010329028922499</v>
      </c>
      <c r="P47" s="3"/>
      <c r="Q47" s="25">
        <f t="shared" si="4"/>
        <v>23.6</v>
      </c>
      <c r="R47" s="30">
        <f t="shared" si="5"/>
        <v>3.8628485153358754</v>
      </c>
      <c r="S47" s="30"/>
      <c r="T47" s="30"/>
    </row>
    <row r="48" spans="2:20" x14ac:dyDescent="0.2">
      <c r="B48" s="20">
        <v>0.43055555555555503</v>
      </c>
      <c r="C48" s="19">
        <v>64.861892700195313</v>
      </c>
      <c r="D48" s="3">
        <v>18.001983642578125</v>
      </c>
      <c r="E48" s="19">
        <f t="shared" si="1"/>
        <v>67.313717322097887</v>
      </c>
      <c r="F48" s="19">
        <v>57.226058959960938</v>
      </c>
      <c r="G48" s="19">
        <v>-1.5698655843734741</v>
      </c>
      <c r="H48" s="19">
        <f t="shared" si="2"/>
        <v>57.247587739938233</v>
      </c>
      <c r="I48" s="19"/>
      <c r="J48" s="19"/>
      <c r="K48" s="22">
        <f t="shared" si="0"/>
        <v>0</v>
      </c>
      <c r="L48" s="22">
        <v>6</v>
      </c>
      <c r="M48" s="22">
        <v>8.8000000000000007</v>
      </c>
      <c r="N48" s="24">
        <v>8.8000000000000007</v>
      </c>
      <c r="O48" s="22">
        <f t="shared" si="3"/>
        <v>99.849342141508629</v>
      </c>
      <c r="P48" s="3"/>
      <c r="Q48" s="25">
        <f t="shared" si="4"/>
        <v>23.6</v>
      </c>
      <c r="R48" s="30">
        <f t="shared" si="5"/>
        <v>4.6727104394487364</v>
      </c>
      <c r="S48" s="30"/>
      <c r="T48" s="30"/>
    </row>
    <row r="49" spans="2:20" x14ac:dyDescent="0.2">
      <c r="B49" s="20">
        <v>0.4375</v>
      </c>
      <c r="C49" s="19">
        <v>64.66094970703125</v>
      </c>
      <c r="D49" s="3">
        <v>17.881418228149414</v>
      </c>
      <c r="E49" s="19">
        <f t="shared" si="1"/>
        <v>67.087879194868123</v>
      </c>
      <c r="F49" s="19">
        <v>57.507381439208984</v>
      </c>
      <c r="G49" s="19">
        <v>-0.96703660488128662</v>
      </c>
      <c r="H49" s="19">
        <f t="shared" si="2"/>
        <v>57.515511645032404</v>
      </c>
      <c r="I49" s="19"/>
      <c r="J49" s="19"/>
      <c r="K49" s="22">
        <f t="shared" si="0"/>
        <v>0</v>
      </c>
      <c r="L49" s="22">
        <v>6</v>
      </c>
      <c r="M49" s="22">
        <v>8.8000000000000007</v>
      </c>
      <c r="N49" s="24">
        <v>8.8000000000000007</v>
      </c>
      <c r="O49" s="22">
        <f t="shared" si="3"/>
        <v>100.00906064278588</v>
      </c>
      <c r="P49" s="3"/>
      <c r="Q49" s="25">
        <f t="shared" si="4"/>
        <v>23.6</v>
      </c>
      <c r="R49" s="30">
        <f t="shared" si="5"/>
        <v>4.8278559732355291</v>
      </c>
      <c r="S49" s="30"/>
      <c r="T49" s="30"/>
    </row>
    <row r="50" spans="2:20" x14ac:dyDescent="0.2">
      <c r="B50" s="20">
        <v>0.44444444444444398</v>
      </c>
      <c r="C50" s="19">
        <v>66.147933959960938</v>
      </c>
      <c r="D50" s="3">
        <v>18.564624786376953</v>
      </c>
      <c r="E50" s="19">
        <f t="shared" si="1"/>
        <v>68.70367137664708</v>
      </c>
      <c r="F50" s="19">
        <v>57.507381439208984</v>
      </c>
      <c r="G50" s="19">
        <v>-0.92684799432754517</v>
      </c>
      <c r="H50" s="19">
        <f t="shared" si="2"/>
        <v>57.514849971109783</v>
      </c>
      <c r="I50" s="19"/>
      <c r="J50" s="19"/>
      <c r="K50" s="22">
        <f t="shared" si="0"/>
        <v>0</v>
      </c>
      <c r="L50" s="22">
        <v>6</v>
      </c>
      <c r="M50" s="22">
        <v>8.8000000000000007</v>
      </c>
      <c r="N50" s="24">
        <v>8.8000000000000007</v>
      </c>
      <c r="O50" s="22">
        <f t="shared" si="3"/>
        <v>101.59801823753025</v>
      </c>
      <c r="P50" s="3"/>
      <c r="Q50" s="25">
        <f t="shared" si="4"/>
        <v>23.6</v>
      </c>
      <c r="R50" s="30">
        <f t="shared" si="5"/>
        <v>6.3525757197179473</v>
      </c>
      <c r="S50" s="30"/>
      <c r="T50" s="30"/>
    </row>
    <row r="51" spans="2:20" x14ac:dyDescent="0.2">
      <c r="B51" s="20">
        <v>0.45138888888888901</v>
      </c>
      <c r="C51" s="19">
        <v>66.26849365234375</v>
      </c>
      <c r="D51" s="3">
        <v>18.765567779541016</v>
      </c>
      <c r="E51" s="19">
        <f t="shared" si="1"/>
        <v>68.874231647541976</v>
      </c>
      <c r="F51" s="19">
        <v>57.427001953125</v>
      </c>
      <c r="G51" s="19">
        <v>-1.0876023769378662</v>
      </c>
      <c r="H51" s="19">
        <f t="shared" si="2"/>
        <v>57.437300008396491</v>
      </c>
      <c r="I51" s="19"/>
      <c r="J51" s="19"/>
      <c r="K51" s="22">
        <f t="shared" si="0"/>
        <v>0</v>
      </c>
      <c r="L51" s="22">
        <v>6</v>
      </c>
      <c r="M51" s="22">
        <v>8.8000000000000007</v>
      </c>
      <c r="N51" s="24">
        <v>8.8000000000000007</v>
      </c>
      <c r="O51" s="22">
        <f t="shared" si="3"/>
        <v>101.6445704466306</v>
      </c>
      <c r="P51" s="3"/>
      <c r="Q51" s="25">
        <f t="shared" si="4"/>
        <v>23.6</v>
      </c>
      <c r="R51" s="30">
        <f t="shared" si="5"/>
        <v>6.3931845616575398</v>
      </c>
      <c r="S51" s="30"/>
      <c r="T51" s="30"/>
    </row>
    <row r="52" spans="2:20" x14ac:dyDescent="0.2">
      <c r="B52" s="20">
        <v>0.45833333333333298</v>
      </c>
      <c r="C52" s="19">
        <v>67.87603759765625</v>
      </c>
      <c r="D52" s="3">
        <v>19.328208923339844</v>
      </c>
      <c r="E52" s="19">
        <f t="shared" si="1"/>
        <v>70.574330603575106</v>
      </c>
      <c r="F52" s="19">
        <v>57.145683288574219</v>
      </c>
      <c r="G52" s="19">
        <v>-1.1679795980453491</v>
      </c>
      <c r="H52" s="19">
        <f t="shared" si="2"/>
        <v>57.15761799497492</v>
      </c>
      <c r="I52" s="19"/>
      <c r="J52" s="19"/>
      <c r="K52" s="22">
        <f t="shared" si="0"/>
        <v>0</v>
      </c>
      <c r="L52" s="22">
        <v>6</v>
      </c>
      <c r="M52" s="22">
        <v>8.8000000000000007</v>
      </c>
      <c r="N52" s="24">
        <v>8.8000000000000007</v>
      </c>
      <c r="O52" s="22">
        <f t="shared" si="3"/>
        <v>103.03474849133048</v>
      </c>
      <c r="P52" s="3"/>
      <c r="Q52" s="25">
        <f t="shared" si="4"/>
        <v>23.6</v>
      </c>
      <c r="R52" s="30">
        <f t="shared" si="5"/>
        <v>7.7275531488729747</v>
      </c>
      <c r="S52" s="30"/>
      <c r="T52" s="30"/>
    </row>
    <row r="53" spans="2:20" x14ac:dyDescent="0.2">
      <c r="B53" s="20">
        <v>0.46527777777777801</v>
      </c>
      <c r="C53" s="19">
        <v>67.87603759765625</v>
      </c>
      <c r="D53" s="3">
        <v>19.368396759033203</v>
      </c>
      <c r="E53" s="19">
        <f t="shared" si="1"/>
        <v>70.585347438216758</v>
      </c>
      <c r="F53" s="19">
        <v>56.221343994140625</v>
      </c>
      <c r="G53" s="19">
        <v>-2.052128791809082</v>
      </c>
      <c r="H53" s="19">
        <f t="shared" si="2"/>
        <v>56.258783786051261</v>
      </c>
      <c r="I53" s="19"/>
      <c r="J53" s="19"/>
      <c r="K53" s="22">
        <f t="shared" si="0"/>
        <v>0</v>
      </c>
      <c r="L53" s="22">
        <v>6</v>
      </c>
      <c r="M53" s="22">
        <v>8.8000000000000007</v>
      </c>
      <c r="N53" s="24">
        <v>8.8000000000000007</v>
      </c>
      <c r="O53" s="22">
        <f t="shared" si="3"/>
        <v>101.97831555345454</v>
      </c>
      <c r="P53" s="3"/>
      <c r="Q53" s="25">
        <f t="shared" si="4"/>
        <v>23.6</v>
      </c>
      <c r="R53" s="30">
        <f t="shared" si="5"/>
        <v>6.7104636594611033</v>
      </c>
      <c r="S53" s="30"/>
      <c r="T53" s="30"/>
    </row>
    <row r="54" spans="2:20" x14ac:dyDescent="0.2">
      <c r="B54" s="20">
        <v>0.47222222222222199</v>
      </c>
      <c r="C54" s="19">
        <v>67.996604919433594</v>
      </c>
      <c r="D54" s="3">
        <v>19.2076416015625</v>
      </c>
      <c r="E54" s="19">
        <f t="shared" si="1"/>
        <v>70.657425487089569</v>
      </c>
      <c r="F54" s="19">
        <v>56.703609466552734</v>
      </c>
      <c r="G54" s="19">
        <v>-1.9315630197525024</v>
      </c>
      <c r="H54" s="19">
        <f t="shared" si="2"/>
        <v>56.736498501710557</v>
      </c>
      <c r="I54" s="19"/>
      <c r="J54" s="19"/>
      <c r="K54" s="22">
        <f t="shared" si="0"/>
        <v>0</v>
      </c>
      <c r="L54" s="22">
        <v>6</v>
      </c>
      <c r="M54" s="22">
        <v>8.8000000000000007</v>
      </c>
      <c r="N54" s="24">
        <v>8.8000000000000007</v>
      </c>
      <c r="O54" s="22">
        <f t="shared" si="3"/>
        <v>102.56566794038477</v>
      </c>
      <c r="P54" s="3"/>
      <c r="Q54" s="25">
        <f t="shared" si="4"/>
        <v>23.6</v>
      </c>
      <c r="R54" s="30">
        <f t="shared" si="5"/>
        <v>7.2807596703047981</v>
      </c>
      <c r="S54" s="30"/>
      <c r="T54" s="30"/>
    </row>
    <row r="55" spans="2:20" x14ac:dyDescent="0.2">
      <c r="B55" s="20">
        <v>0.47916666666666602</v>
      </c>
      <c r="C55" s="19">
        <v>67.795661926269531</v>
      </c>
      <c r="D55" s="3">
        <v>19.408584594726563</v>
      </c>
      <c r="E55" s="19">
        <f t="shared" si="1"/>
        <v>70.519110402724806</v>
      </c>
      <c r="F55" s="19">
        <v>56.703609466552734</v>
      </c>
      <c r="G55" s="19">
        <v>-1.5698655843734741</v>
      </c>
      <c r="H55" s="19">
        <f t="shared" si="2"/>
        <v>56.725336530410544</v>
      </c>
      <c r="I55" s="19"/>
      <c r="J55" s="19"/>
      <c r="K55" s="22">
        <f t="shared" si="0"/>
        <v>0</v>
      </c>
      <c r="L55" s="22">
        <v>6</v>
      </c>
      <c r="M55" s="22">
        <v>8.8000000000000007</v>
      </c>
      <c r="N55" s="24">
        <v>8.8000000000000007</v>
      </c>
      <c r="O55" s="22">
        <f t="shared" si="3"/>
        <v>102.46405644679862</v>
      </c>
      <c r="P55" s="3"/>
      <c r="Q55" s="25">
        <f t="shared" si="4"/>
        <v>23.6</v>
      </c>
      <c r="R55" s="30">
        <f t="shared" si="5"/>
        <v>7.1757945410241497</v>
      </c>
      <c r="S55" s="30"/>
      <c r="T55" s="30"/>
    </row>
    <row r="56" spans="2:20" x14ac:dyDescent="0.2">
      <c r="B56" s="20">
        <v>0.48611111111111099</v>
      </c>
      <c r="C56" s="19">
        <v>67.87603759765625</v>
      </c>
      <c r="D56" s="3">
        <v>19.328208923339844</v>
      </c>
      <c r="E56" s="19">
        <f t="shared" si="1"/>
        <v>70.574330603575106</v>
      </c>
      <c r="F56" s="19">
        <v>56.502666473388672</v>
      </c>
      <c r="G56" s="19">
        <v>-1.9717515707015991</v>
      </c>
      <c r="H56" s="19">
        <f t="shared" si="2"/>
        <v>56.537059729522234</v>
      </c>
      <c r="I56" s="19"/>
      <c r="J56" s="19"/>
      <c r="K56" s="22">
        <f t="shared" si="0"/>
        <v>0</v>
      </c>
      <c r="L56" s="22">
        <v>6</v>
      </c>
      <c r="M56" s="22">
        <v>8.8000000000000007</v>
      </c>
      <c r="N56" s="24">
        <v>8.8000000000000007</v>
      </c>
      <c r="O56" s="22">
        <f t="shared" si="3"/>
        <v>102.26237727567846</v>
      </c>
      <c r="P56" s="3"/>
      <c r="Q56" s="25">
        <f t="shared" si="4"/>
        <v>23.6</v>
      </c>
      <c r="R56" s="30">
        <f t="shared" si="5"/>
        <v>6.9847122713955212</v>
      </c>
      <c r="S56" s="30"/>
      <c r="T56" s="30"/>
    </row>
    <row r="57" spans="2:20" x14ac:dyDescent="0.2">
      <c r="B57" s="20">
        <v>0.49305555555555503</v>
      </c>
      <c r="C57" s="19">
        <v>68.277923583984375</v>
      </c>
      <c r="D57" s="3">
        <v>19.890848159790039</v>
      </c>
      <c r="E57" s="19">
        <f t="shared" si="1"/>
        <v>71.116247717777071</v>
      </c>
      <c r="F57" s="19">
        <v>53.086635589599609</v>
      </c>
      <c r="G57" s="19">
        <v>-4.1419363021850586</v>
      </c>
      <c r="H57" s="19">
        <f t="shared" si="2"/>
        <v>53.247971929025638</v>
      </c>
      <c r="I57" s="19"/>
      <c r="J57" s="19"/>
      <c r="K57" s="22">
        <f t="shared" si="0"/>
        <v>0</v>
      </c>
      <c r="L57" s="22">
        <v>6</v>
      </c>
      <c r="M57" s="22">
        <v>8.8000000000000007</v>
      </c>
      <c r="N57" s="24">
        <v>8.8000000000000007</v>
      </c>
      <c r="O57" s="22">
        <f t="shared" si="3"/>
        <v>99.024932492296188</v>
      </c>
      <c r="P57" s="3"/>
      <c r="Q57" s="25">
        <f t="shared" si="4"/>
        <v>23.6</v>
      </c>
      <c r="R57" s="30">
        <f t="shared" si="5"/>
        <v>3.8642932094826912</v>
      </c>
      <c r="S57" s="30"/>
      <c r="T57" s="30"/>
    </row>
    <row r="58" spans="2:20" x14ac:dyDescent="0.2">
      <c r="B58" s="20">
        <v>0.5</v>
      </c>
      <c r="C58" s="19">
        <v>68.438682556152344</v>
      </c>
      <c r="D58" s="3">
        <v>19.649717330932617</v>
      </c>
      <c r="E58" s="19">
        <f t="shared" si="1"/>
        <v>71.203684323266202</v>
      </c>
      <c r="F58" s="19">
        <v>53.729652404785156</v>
      </c>
      <c r="G58" s="19">
        <v>-3.940993070602417</v>
      </c>
      <c r="H58" s="19">
        <f t="shared" si="2"/>
        <v>53.873991627886376</v>
      </c>
      <c r="I58" s="19"/>
      <c r="J58" s="19"/>
      <c r="K58" s="22">
        <f t="shared" si="0"/>
        <v>0</v>
      </c>
      <c r="L58" s="22">
        <v>6</v>
      </c>
      <c r="M58" s="22">
        <v>8.8000000000000007</v>
      </c>
      <c r="N58" s="24">
        <v>8.8000000000000007</v>
      </c>
      <c r="O58" s="22">
        <f t="shared" si="3"/>
        <v>99.812227080947665</v>
      </c>
      <c r="P58" s="3"/>
      <c r="Q58" s="25">
        <f t="shared" si="4"/>
        <v>23.6</v>
      </c>
      <c r="R58" s="30">
        <f t="shared" si="5"/>
        <v>4.6253573071566789</v>
      </c>
      <c r="S58" s="30"/>
      <c r="T58" s="30"/>
    </row>
    <row r="59" spans="2:20" x14ac:dyDescent="0.2">
      <c r="B59" s="20">
        <v>0.50694444444444398</v>
      </c>
      <c r="C59" s="19">
        <v>68.076980590820313</v>
      </c>
      <c r="D59" s="3">
        <v>19.971225738525391</v>
      </c>
      <c r="E59" s="19">
        <f t="shared" si="1"/>
        <v>70.9459311297136</v>
      </c>
      <c r="F59" s="19">
        <v>53.729652404785156</v>
      </c>
      <c r="G59" s="19">
        <v>-3.7802388668060303</v>
      </c>
      <c r="H59" s="19">
        <f t="shared" si="2"/>
        <v>53.862470732683128</v>
      </c>
      <c r="I59" s="19"/>
      <c r="J59" s="19"/>
      <c r="K59" s="22">
        <f t="shared" si="0"/>
        <v>0</v>
      </c>
      <c r="L59" s="22">
        <v>6</v>
      </c>
      <c r="M59" s="22">
        <v>8.8000000000000007</v>
      </c>
      <c r="N59" s="24">
        <v>8.8000000000000007</v>
      </c>
      <c r="O59" s="22">
        <f t="shared" si="3"/>
        <v>99.532360668346129</v>
      </c>
      <c r="P59" s="3"/>
      <c r="Q59" s="25">
        <f t="shared" si="4"/>
        <v>23.6</v>
      </c>
      <c r="R59" s="30">
        <f t="shared" si="5"/>
        <v>4.3490785776771634</v>
      </c>
      <c r="S59" s="30"/>
      <c r="T59" s="30"/>
    </row>
    <row r="60" spans="2:20" x14ac:dyDescent="0.2">
      <c r="B60" s="20">
        <v>0.51388888888888895</v>
      </c>
      <c r="C60" s="19">
        <v>68.277923583984375</v>
      </c>
      <c r="D60" s="3">
        <v>19.85066032409668</v>
      </c>
      <c r="E60" s="19">
        <f t="shared" si="1"/>
        <v>71.105017855585103</v>
      </c>
      <c r="F60" s="19">
        <v>53.810028076171875</v>
      </c>
      <c r="G60" s="19">
        <v>-3.9811818599700928</v>
      </c>
      <c r="H60" s="19">
        <f t="shared" si="2"/>
        <v>53.957102688715231</v>
      </c>
      <c r="I60" s="19"/>
      <c r="J60" s="19"/>
      <c r="K60" s="22">
        <f t="shared" si="0"/>
        <v>0</v>
      </c>
      <c r="L60" s="22">
        <v>6</v>
      </c>
      <c r="M60" s="22">
        <v>8.8000000000000007</v>
      </c>
      <c r="N60" s="24">
        <v>8.8000000000000007</v>
      </c>
      <c r="O60" s="22">
        <f t="shared" si="3"/>
        <v>99.758292732667854</v>
      </c>
      <c r="P60" s="3"/>
      <c r="Q60" s="25">
        <f t="shared" si="4"/>
        <v>23.6</v>
      </c>
      <c r="R60" s="30">
        <f t="shared" si="5"/>
        <v>4.5691057732545808</v>
      </c>
      <c r="S60" s="30"/>
      <c r="T60" s="30"/>
    </row>
    <row r="61" spans="2:20" x14ac:dyDescent="0.2">
      <c r="B61" s="20">
        <v>0.52083333333333304</v>
      </c>
      <c r="C61" s="19">
        <v>67.87603759765625</v>
      </c>
      <c r="D61" s="3">
        <v>19.971225738525391</v>
      </c>
      <c r="E61" s="19">
        <f t="shared" si="1"/>
        <v>70.753136590949694</v>
      </c>
      <c r="F61" s="19">
        <v>53.568897247314453</v>
      </c>
      <c r="G61" s="19">
        <v>-4.1419363021850586</v>
      </c>
      <c r="H61" s="19">
        <f t="shared" si="2"/>
        <v>53.728785475056966</v>
      </c>
      <c r="I61" s="19"/>
      <c r="J61" s="19"/>
      <c r="K61" s="22">
        <f t="shared" si="0"/>
        <v>0</v>
      </c>
      <c r="L61" s="22">
        <v>6</v>
      </c>
      <c r="M61" s="22">
        <v>8.8000000000000007</v>
      </c>
      <c r="N61" s="24">
        <v>8.8000000000000007</v>
      </c>
      <c r="O61" s="22">
        <f t="shared" si="3"/>
        <v>99.117090750667217</v>
      </c>
      <c r="P61" s="3"/>
      <c r="Q61" s="25">
        <f t="shared" si="4"/>
        <v>23.6</v>
      </c>
      <c r="R61" s="30">
        <f t="shared" si="5"/>
        <v>3.9496737537003628</v>
      </c>
      <c r="S61" s="30"/>
      <c r="T61" s="30"/>
    </row>
    <row r="62" spans="2:20" x14ac:dyDescent="0.2">
      <c r="B62" s="20">
        <v>0.52777777777777801</v>
      </c>
      <c r="C62" s="19">
        <v>68.197547912597656</v>
      </c>
      <c r="D62" s="3">
        <v>19.85066032409668</v>
      </c>
      <c r="E62" s="19">
        <f t="shared" si="1"/>
        <v>71.027841418655825</v>
      </c>
      <c r="F62" s="19">
        <v>53.8502197265625</v>
      </c>
      <c r="G62" s="19">
        <v>-4.1821246147155762</v>
      </c>
      <c r="H62" s="19">
        <f t="shared" si="2"/>
        <v>54.012372016900635</v>
      </c>
      <c r="I62" s="19"/>
      <c r="J62" s="19"/>
      <c r="K62" s="22">
        <f t="shared" si="0"/>
        <v>0</v>
      </c>
      <c r="L62" s="22">
        <v>6</v>
      </c>
      <c r="M62" s="22">
        <v>8.8000000000000007</v>
      </c>
      <c r="N62" s="24">
        <v>8.8000000000000007</v>
      </c>
      <c r="O62" s="22">
        <f t="shared" si="3"/>
        <v>99.686839474477381</v>
      </c>
      <c r="P62" s="3"/>
      <c r="Q62" s="25">
        <f t="shared" si="4"/>
        <v>23.6</v>
      </c>
      <c r="R62" s="30">
        <f t="shared" si="5"/>
        <v>4.5000798734026075</v>
      </c>
      <c r="S62" s="30"/>
      <c r="T62" s="30"/>
    </row>
    <row r="63" spans="2:20" x14ac:dyDescent="0.2">
      <c r="B63" s="20">
        <v>0.53472222222222199</v>
      </c>
      <c r="C63" s="19">
        <v>66.750762939453125</v>
      </c>
      <c r="D63" s="3">
        <v>18.323492050170898</v>
      </c>
      <c r="E63" s="19">
        <f t="shared" si="1"/>
        <v>69.220045607553203</v>
      </c>
      <c r="F63" s="19">
        <v>57.507381439208984</v>
      </c>
      <c r="G63" s="19">
        <v>-2.0923173427581787</v>
      </c>
      <c r="H63" s="19">
        <f t="shared" si="2"/>
        <v>57.54543172014165</v>
      </c>
      <c r="I63" s="19"/>
      <c r="J63" s="19"/>
      <c r="K63" s="22">
        <f t="shared" si="0"/>
        <v>0</v>
      </c>
      <c r="L63" s="22">
        <v>6</v>
      </c>
      <c r="M63" s="22">
        <v>8.8000000000000007</v>
      </c>
      <c r="N63" s="24">
        <v>8.8000000000000007</v>
      </c>
      <c r="O63" s="22">
        <f t="shared" si="3"/>
        <v>101.95838887574745</v>
      </c>
      <c r="P63" s="3"/>
      <c r="Q63" s="25">
        <f t="shared" si="4"/>
        <v>23.6</v>
      </c>
      <c r="R63" s="30">
        <f t="shared" si="5"/>
        <v>6.7101626733811672</v>
      </c>
      <c r="S63" s="30"/>
      <c r="T63" s="30"/>
    </row>
    <row r="64" spans="2:20" x14ac:dyDescent="0.2">
      <c r="B64" s="20">
        <v>0.54166666666666596</v>
      </c>
      <c r="C64" s="19">
        <v>68.277923583984375</v>
      </c>
      <c r="D64" s="3">
        <v>19.087076187133789</v>
      </c>
      <c r="E64" s="19">
        <f t="shared" si="1"/>
        <v>70.895636863729905</v>
      </c>
      <c r="F64" s="19">
        <v>57.266250610351563</v>
      </c>
      <c r="G64" s="19">
        <v>-2.1726946830749512</v>
      </c>
      <c r="H64" s="19">
        <f t="shared" si="2"/>
        <v>57.307452056023678</v>
      </c>
      <c r="I64" s="19"/>
      <c r="J64" s="19"/>
      <c r="K64" s="22">
        <f t="shared" si="0"/>
        <v>0</v>
      </c>
      <c r="L64" s="22">
        <v>6</v>
      </c>
      <c r="M64" s="22">
        <v>8.8000000000000007</v>
      </c>
      <c r="N64" s="24">
        <v>8.8000000000000007</v>
      </c>
      <c r="O64" s="22">
        <f t="shared" si="3"/>
        <v>103.33784860267779</v>
      </c>
      <c r="P64" s="3"/>
      <c r="Q64" s="25">
        <f t="shared" si="4"/>
        <v>23.6</v>
      </c>
      <c r="R64" s="30">
        <f t="shared" si="5"/>
        <v>8.0299862577257368</v>
      </c>
      <c r="S64" s="30"/>
      <c r="T64" s="30"/>
    </row>
    <row r="65" spans="2:20" x14ac:dyDescent="0.2">
      <c r="B65" s="20">
        <v>0.54861111111111105</v>
      </c>
      <c r="C65" s="19">
        <v>68.559249877929688</v>
      </c>
      <c r="D65" s="3">
        <v>19.448774337768555</v>
      </c>
      <c r="E65" s="19">
        <f t="shared" si="1"/>
        <v>71.264476193022332</v>
      </c>
      <c r="F65" s="19">
        <v>57.507381439208984</v>
      </c>
      <c r="G65" s="19">
        <v>-2.1726946830749512</v>
      </c>
      <c r="H65" s="19">
        <f t="shared" si="2"/>
        <v>57.548410248942062</v>
      </c>
      <c r="I65" s="19"/>
      <c r="J65" s="19"/>
      <c r="K65" s="22">
        <f t="shared" si="0"/>
        <v>0</v>
      </c>
      <c r="L65" s="22">
        <v>6</v>
      </c>
      <c r="M65" s="22">
        <v>8.8000000000000007</v>
      </c>
      <c r="N65" s="24">
        <v>8.8000000000000007</v>
      </c>
      <c r="O65" s="22">
        <f t="shared" si="3"/>
        <v>103.91281663836152</v>
      </c>
      <c r="P65" s="3"/>
      <c r="Q65" s="25">
        <f t="shared" si="4"/>
        <v>23.6</v>
      </c>
      <c r="R65" s="30">
        <f t="shared" si="5"/>
        <v>8.5744827671297266</v>
      </c>
      <c r="S65" s="30"/>
      <c r="T65" s="30"/>
    </row>
    <row r="66" spans="2:20" x14ac:dyDescent="0.2">
      <c r="B66" s="20">
        <v>0.55555555555555503</v>
      </c>
      <c r="C66" s="19">
        <v>68.961135864257813</v>
      </c>
      <c r="D66" s="3">
        <v>19.609527587890625</v>
      </c>
      <c r="E66" s="19">
        <f t="shared" si="1"/>
        <v>71.694991679397447</v>
      </c>
      <c r="F66" s="19">
        <v>57.507381439208984</v>
      </c>
      <c r="G66" s="19">
        <v>-2.2932603359222412</v>
      </c>
      <c r="H66" s="19">
        <f t="shared" si="2"/>
        <v>57.553088213952449</v>
      </c>
      <c r="I66" s="19"/>
      <c r="J66" s="19"/>
      <c r="K66" s="22">
        <f t="shared" si="0"/>
        <v>0</v>
      </c>
      <c r="L66" s="22">
        <v>6</v>
      </c>
      <c r="M66" s="22">
        <v>8.8000000000000007</v>
      </c>
      <c r="N66" s="24">
        <v>8.8000000000000007</v>
      </c>
      <c r="O66" s="22">
        <f t="shared" si="3"/>
        <v>104.3157944117536</v>
      </c>
      <c r="P66" s="3"/>
      <c r="Q66" s="25">
        <f t="shared" si="4"/>
        <v>23.6</v>
      </c>
      <c r="R66" s="30">
        <f t="shared" si="5"/>
        <v>8.960566827111359</v>
      </c>
      <c r="S66" s="30"/>
      <c r="T66" s="30"/>
    </row>
    <row r="67" spans="2:20" x14ac:dyDescent="0.2">
      <c r="B67" s="20">
        <v>0.5625</v>
      </c>
      <c r="C67" s="19">
        <v>68.961135864257813</v>
      </c>
      <c r="D67" s="3">
        <v>19.609527587890625</v>
      </c>
      <c r="E67" s="19">
        <f t="shared" si="1"/>
        <v>71.694991679397447</v>
      </c>
      <c r="F67" s="19">
        <v>57.909267425537109</v>
      </c>
      <c r="G67" s="19">
        <v>-2.4138262271881104</v>
      </c>
      <c r="H67" s="19">
        <f t="shared" si="2"/>
        <v>57.95955323169283</v>
      </c>
      <c r="I67" s="19"/>
      <c r="J67" s="19"/>
      <c r="K67" s="22">
        <f t="shared" si="0"/>
        <v>0</v>
      </c>
      <c r="L67" s="22">
        <v>6</v>
      </c>
      <c r="M67" s="22">
        <v>8.8000000000000007</v>
      </c>
      <c r="N67" s="24">
        <v>8.8000000000000007</v>
      </c>
      <c r="O67" s="22">
        <f t="shared" si="3"/>
        <v>104.69225540088127</v>
      </c>
      <c r="P67" s="3"/>
      <c r="Q67" s="25">
        <f t="shared" si="4"/>
        <v>23.6</v>
      </c>
      <c r="R67" s="30">
        <f t="shared" si="5"/>
        <v>9.3226726982566959</v>
      </c>
      <c r="S67" s="30"/>
      <c r="T67" s="30"/>
    </row>
    <row r="68" spans="2:20" x14ac:dyDescent="0.2">
      <c r="B68" s="20">
        <v>0.56944444444444398</v>
      </c>
      <c r="C68" s="19">
        <v>68.6798095703125</v>
      </c>
      <c r="D68" s="3">
        <v>19.689905166625977</v>
      </c>
      <c r="E68" s="19">
        <f t="shared" si="1"/>
        <v>71.446543709861245</v>
      </c>
      <c r="F68" s="19">
        <v>57.708324432373047</v>
      </c>
      <c r="G68" s="19">
        <v>-2.0923173427581787</v>
      </c>
      <c r="H68" s="19">
        <f t="shared" si="2"/>
        <v>57.74624230765869</v>
      </c>
      <c r="I68" s="19"/>
      <c r="J68" s="19"/>
      <c r="K68" s="22">
        <f t="shared" si="0"/>
        <v>0</v>
      </c>
      <c r="L68" s="22">
        <v>6</v>
      </c>
      <c r="M68" s="22">
        <v>8.8000000000000007</v>
      </c>
      <c r="N68" s="24">
        <v>8.8000000000000007</v>
      </c>
      <c r="O68" s="22">
        <f t="shared" si="3"/>
        <v>104.28363049382574</v>
      </c>
      <c r="P68" s="3"/>
      <c r="Q68" s="25">
        <f t="shared" si="4"/>
        <v>23.6</v>
      </c>
      <c r="R68" s="30">
        <f t="shared" si="5"/>
        <v>8.9241262254243239</v>
      </c>
      <c r="S68" s="30"/>
      <c r="T68" s="30"/>
    </row>
    <row r="69" spans="2:20" x14ac:dyDescent="0.2">
      <c r="B69" s="20">
        <v>0.57638888888888895</v>
      </c>
      <c r="C69" s="19">
        <v>68.76019287109375</v>
      </c>
      <c r="D69" s="3">
        <v>19.649717330932617</v>
      </c>
      <c r="E69" s="19">
        <f t="shared" si="1"/>
        <v>71.512764698727494</v>
      </c>
      <c r="F69" s="19">
        <v>57.346626281738281</v>
      </c>
      <c r="G69" s="19">
        <v>-1.9315630197525024</v>
      </c>
      <c r="H69" s="19">
        <f t="shared" si="2"/>
        <v>57.379146748593527</v>
      </c>
      <c r="I69" s="19"/>
      <c r="J69" s="19"/>
      <c r="K69" s="22">
        <f t="shared" si="0"/>
        <v>0</v>
      </c>
      <c r="L69" s="22">
        <v>6</v>
      </c>
      <c r="M69" s="22">
        <v>8.8000000000000007</v>
      </c>
      <c r="N69" s="24">
        <v>8.8000000000000007</v>
      </c>
      <c r="O69" s="22">
        <f t="shared" si="3"/>
        <v>104.02682810230351</v>
      </c>
      <c r="P69" s="3"/>
      <c r="Q69" s="25">
        <f t="shared" si="4"/>
        <v>23.6</v>
      </c>
      <c r="R69" s="30">
        <f t="shared" si="5"/>
        <v>8.6793797435109266</v>
      </c>
      <c r="S69" s="30"/>
      <c r="T69" s="30"/>
    </row>
    <row r="70" spans="2:20" x14ac:dyDescent="0.2">
      <c r="B70" s="20">
        <v>0.58333333333333304</v>
      </c>
      <c r="C70" s="19">
        <v>68.6798095703125</v>
      </c>
      <c r="D70" s="3">
        <v>19.408584594726563</v>
      </c>
      <c r="E70" s="19">
        <f t="shared" si="1"/>
        <v>71.369527100752506</v>
      </c>
      <c r="F70" s="19">
        <v>58.070022583007813</v>
      </c>
      <c r="G70" s="19">
        <v>-1.5296770334243774</v>
      </c>
      <c r="H70" s="19">
        <f t="shared" si="2"/>
        <v>58.090166419262594</v>
      </c>
      <c r="I70" s="19"/>
      <c r="J70" s="19"/>
      <c r="K70" s="22">
        <f t="shared" si="0"/>
        <v>0</v>
      </c>
      <c r="L70" s="22">
        <v>6</v>
      </c>
      <c r="M70" s="22">
        <v>8.8000000000000007</v>
      </c>
      <c r="N70" s="24">
        <v>8.8000000000000007</v>
      </c>
      <c r="O70" s="22">
        <f t="shared" si="3"/>
        <v>104.68783696706959</v>
      </c>
      <c r="P70" s="3"/>
      <c r="Q70" s="25">
        <f t="shared" si="4"/>
        <v>23.6</v>
      </c>
      <c r="R70" s="30">
        <f t="shared" si="5"/>
        <v>9.3227295328338737</v>
      </c>
      <c r="S70" s="30"/>
      <c r="T70" s="30"/>
    </row>
    <row r="71" spans="2:20" x14ac:dyDescent="0.2">
      <c r="B71" s="20">
        <v>0.59027777777777801</v>
      </c>
      <c r="C71" s="19">
        <v>68.398490905761719</v>
      </c>
      <c r="D71" s="3">
        <v>19.448774337768555</v>
      </c>
      <c r="E71" s="19">
        <f t="shared" si="1"/>
        <v>71.109833225982285</v>
      </c>
      <c r="F71" s="19">
        <v>57.909267425537109</v>
      </c>
      <c r="G71" s="19">
        <v>-1.4492998123168945</v>
      </c>
      <c r="H71" s="19">
        <f t="shared" si="2"/>
        <v>57.927400457023403</v>
      </c>
      <c r="I71" s="19"/>
      <c r="J71" s="19"/>
      <c r="K71" s="22">
        <f t="shared" si="0"/>
        <v>0</v>
      </c>
      <c r="L71" s="22">
        <v>6</v>
      </c>
      <c r="M71" s="22">
        <v>8.8000000000000007</v>
      </c>
      <c r="N71" s="24">
        <v>8.8000000000000007</v>
      </c>
      <c r="O71" s="22">
        <f t="shared" si="3"/>
        <v>104.27302961280482</v>
      </c>
      <c r="P71" s="3"/>
      <c r="Q71" s="25">
        <f t="shared" si="4"/>
        <v>23.6</v>
      </c>
      <c r="R71" s="30">
        <f t="shared" si="5"/>
        <v>8.9194588549329019</v>
      </c>
      <c r="S71" s="30"/>
      <c r="T71" s="30"/>
    </row>
    <row r="72" spans="2:20" x14ac:dyDescent="0.2">
      <c r="B72" s="20">
        <v>0.59722222222222199</v>
      </c>
      <c r="C72" s="19">
        <v>68.720001220703125</v>
      </c>
      <c r="D72" s="3">
        <v>19.569339752197266</v>
      </c>
      <c r="E72" s="19">
        <f t="shared" si="1"/>
        <v>71.452065233346246</v>
      </c>
      <c r="F72" s="19">
        <v>58.029830932617188</v>
      </c>
      <c r="G72" s="19">
        <v>-1.4492998123168945</v>
      </c>
      <c r="H72" s="19">
        <f t="shared" si="2"/>
        <v>58.047926302445262</v>
      </c>
      <c r="I72" s="19"/>
      <c r="J72" s="19"/>
      <c r="K72" s="22">
        <f t="shared" si="0"/>
        <v>0</v>
      </c>
      <c r="L72" s="22">
        <v>6</v>
      </c>
      <c r="M72" s="22">
        <v>8.8000000000000007</v>
      </c>
      <c r="N72" s="24">
        <v>8.8000000000000007</v>
      </c>
      <c r="O72" s="22">
        <f t="shared" si="3"/>
        <v>104.72928778847402</v>
      </c>
      <c r="P72" s="3"/>
      <c r="Q72" s="25">
        <f t="shared" si="4"/>
        <v>23.6</v>
      </c>
      <c r="R72" s="30">
        <f t="shared" si="5"/>
        <v>9.357275629710939</v>
      </c>
      <c r="S72" s="30"/>
      <c r="T72" s="30"/>
    </row>
    <row r="73" spans="2:20" x14ac:dyDescent="0.2">
      <c r="B73" s="20">
        <v>0.60416666666666596</v>
      </c>
      <c r="C73" s="19">
        <v>69.162078857421875</v>
      </c>
      <c r="D73" s="3">
        <v>19.85066032409668</v>
      </c>
      <c r="E73" s="19">
        <f t="shared" si="1"/>
        <v>71.954442998211775</v>
      </c>
      <c r="F73" s="19">
        <v>57.386814117431641</v>
      </c>
      <c r="G73" s="19">
        <v>-1.650242805480957</v>
      </c>
      <c r="H73" s="19">
        <f t="shared" si="2"/>
        <v>57.410536801755242</v>
      </c>
      <c r="I73" s="19"/>
      <c r="J73" s="19"/>
      <c r="K73" s="22">
        <f t="shared" si="0"/>
        <v>0</v>
      </c>
      <c r="L73" s="22">
        <v>6</v>
      </c>
      <c r="M73" s="22">
        <v>8.8000000000000007</v>
      </c>
      <c r="N73" s="24">
        <v>8.8000000000000007</v>
      </c>
      <c r="O73" s="22">
        <f t="shared" si="3"/>
        <v>104.54534787641093</v>
      </c>
      <c r="P73" s="3"/>
      <c r="Q73" s="25">
        <f t="shared" si="4"/>
        <v>23.6</v>
      </c>
      <c r="R73" s="30">
        <f t="shared" si="5"/>
        <v>9.1749178374748013</v>
      </c>
      <c r="S73" s="30"/>
      <c r="T73" s="30"/>
    </row>
    <row r="74" spans="2:20" x14ac:dyDescent="0.2">
      <c r="B74" s="20">
        <v>0.61111111111111105</v>
      </c>
      <c r="C74" s="19">
        <v>68.76019287109375</v>
      </c>
      <c r="D74" s="3">
        <v>19.689905166625977</v>
      </c>
      <c r="E74" s="19">
        <f t="shared" si="1"/>
        <v>71.523817635391467</v>
      </c>
      <c r="F74" s="19">
        <v>57.386814117431641</v>
      </c>
      <c r="G74" s="19">
        <v>-1.4894883632659912</v>
      </c>
      <c r="H74" s="19">
        <f t="shared" si="2"/>
        <v>57.406140874761441</v>
      </c>
      <c r="I74" s="19"/>
      <c r="J74" s="19"/>
      <c r="K74" s="22">
        <f t="shared" si="0"/>
        <v>0</v>
      </c>
      <c r="L74" s="22">
        <v>6</v>
      </c>
      <c r="M74" s="22">
        <v>8.8000000000000007</v>
      </c>
      <c r="N74" s="24">
        <v>8.8000000000000007</v>
      </c>
      <c r="O74" s="22">
        <f t="shared" si="3"/>
        <v>104.14962224665391</v>
      </c>
      <c r="P74" s="3"/>
      <c r="Q74" s="25">
        <f t="shared" si="4"/>
        <v>23.6</v>
      </c>
      <c r="R74" s="30">
        <f t="shared" si="5"/>
        <v>8.7960879491178918</v>
      </c>
      <c r="S74" s="30"/>
      <c r="T74" s="30"/>
    </row>
    <row r="75" spans="2:20" x14ac:dyDescent="0.2">
      <c r="B75" s="20">
        <v>0.61805555555555503</v>
      </c>
      <c r="C75" s="19">
        <v>68.920944213867188</v>
      </c>
      <c r="D75" s="3">
        <v>19.770282745361328</v>
      </c>
      <c r="E75" s="19">
        <f t="shared" si="1"/>
        <v>71.700492544769347</v>
      </c>
      <c r="F75" s="19">
        <v>57.185871124267578</v>
      </c>
      <c r="G75" s="19">
        <v>-1.3689225912094116</v>
      </c>
      <c r="H75" s="19">
        <f t="shared" si="2"/>
        <v>57.202253498459868</v>
      </c>
      <c r="I75" s="19"/>
      <c r="J75" s="19"/>
      <c r="K75" s="22">
        <f t="shared" si="0"/>
        <v>0</v>
      </c>
      <c r="L75" s="22">
        <v>6</v>
      </c>
      <c r="M75" s="22">
        <v>8.8000000000000007</v>
      </c>
      <c r="N75" s="24">
        <v>8.8000000000000007</v>
      </c>
      <c r="O75" s="22">
        <f t="shared" si="3"/>
        <v>104.14536593766077</v>
      </c>
      <c r="P75" s="3"/>
      <c r="Q75" s="25">
        <f t="shared" si="4"/>
        <v>23.6</v>
      </c>
      <c r="R75" s="30">
        <f t="shared" si="5"/>
        <v>8.7908357841664628</v>
      </c>
      <c r="S75" s="30"/>
      <c r="T75" s="30"/>
    </row>
    <row r="76" spans="2:20" x14ac:dyDescent="0.2">
      <c r="B76" s="20">
        <v>0.625</v>
      </c>
      <c r="C76" s="19">
        <v>69.001319885253906</v>
      </c>
      <c r="D76" s="3">
        <v>19.689905166625977</v>
      </c>
      <c r="E76" s="19">
        <f t="shared" si="1"/>
        <v>71.755658392755763</v>
      </c>
      <c r="F76" s="19">
        <v>57.346626281738281</v>
      </c>
      <c r="G76" s="19">
        <v>-1.4091111421585083</v>
      </c>
      <c r="H76" s="19">
        <f t="shared" si="2"/>
        <v>57.363935884040515</v>
      </c>
      <c r="I76" s="19"/>
      <c r="J76" s="19"/>
      <c r="K76" s="22">
        <f t="shared" si="0"/>
        <v>0</v>
      </c>
      <c r="L76" s="22">
        <v>6</v>
      </c>
      <c r="M76" s="22">
        <v>8.8000000000000007</v>
      </c>
      <c r="N76" s="24">
        <v>8.8000000000000007</v>
      </c>
      <c r="O76" s="22">
        <f t="shared" si="3"/>
        <v>104.36152486285418</v>
      </c>
      <c r="P76" s="3"/>
      <c r="Q76" s="25">
        <f t="shared" si="4"/>
        <v>23.6</v>
      </c>
      <c r="R76" s="30">
        <f t="shared" si="5"/>
        <v>9.002183049312988</v>
      </c>
      <c r="S76" s="30"/>
      <c r="T76" s="30"/>
    </row>
    <row r="77" spans="2:20" x14ac:dyDescent="0.2">
      <c r="B77" s="20">
        <v>0.63194444444444398</v>
      </c>
      <c r="C77" s="19">
        <v>68.76019287109375</v>
      </c>
      <c r="D77" s="3">
        <v>19.770282745361328</v>
      </c>
      <c r="E77" s="19">
        <f t="shared" si="1"/>
        <v>71.54598663448246</v>
      </c>
      <c r="F77" s="19">
        <v>57.266250610351563</v>
      </c>
      <c r="G77" s="19">
        <v>-1.4091111421585083</v>
      </c>
      <c r="H77" s="19">
        <f t="shared" si="2"/>
        <v>57.283584500086462</v>
      </c>
      <c r="I77" s="19"/>
      <c r="J77" s="19"/>
      <c r="K77" s="22">
        <f t="shared" si="0"/>
        <v>0</v>
      </c>
      <c r="L77" s="22">
        <v>6</v>
      </c>
      <c r="M77" s="22">
        <v>8.8000000000000007</v>
      </c>
      <c r="N77" s="24">
        <v>8.8000000000000007</v>
      </c>
      <c r="O77" s="22">
        <f t="shared" si="3"/>
        <v>104.05916080240112</v>
      </c>
      <c r="P77" s="3"/>
      <c r="Q77" s="25">
        <f t="shared" si="4"/>
        <v>23.6</v>
      </c>
      <c r="R77" s="30">
        <f t="shared" si="5"/>
        <v>8.7064232855674213</v>
      </c>
      <c r="S77" s="30"/>
      <c r="T77" s="30"/>
    </row>
    <row r="78" spans="2:20" x14ac:dyDescent="0.2">
      <c r="B78" s="20">
        <v>0.63888888888888895</v>
      </c>
      <c r="C78" s="19">
        <v>68.961135864257813</v>
      </c>
      <c r="D78" s="3">
        <v>19.247831344604492</v>
      </c>
      <c r="E78" s="19">
        <f t="shared" si="1"/>
        <v>71.596908251397025</v>
      </c>
      <c r="F78" s="19">
        <v>57.226058959960938</v>
      </c>
      <c r="G78" s="19">
        <v>-1.9315630197525024</v>
      </c>
      <c r="H78" s="19">
        <f t="shared" si="2"/>
        <v>57.258647903947235</v>
      </c>
      <c r="I78" s="19"/>
      <c r="J78" s="19"/>
      <c r="K78" s="22">
        <f t="shared" si="0"/>
        <v>0</v>
      </c>
      <c r="L78" s="22">
        <v>6</v>
      </c>
      <c r="M78" s="22">
        <v>8.8000000000000007</v>
      </c>
      <c r="N78" s="24">
        <v>8.8000000000000007</v>
      </c>
      <c r="O78" s="22">
        <f t="shared" si="3"/>
        <v>104.03838565933484</v>
      </c>
      <c r="P78" s="3"/>
      <c r="Q78" s="25">
        <f t="shared" si="4"/>
        <v>23.6</v>
      </c>
      <c r="R78" s="30">
        <f t="shared" si="5"/>
        <v>8.705646049105578</v>
      </c>
      <c r="S78" s="30"/>
      <c r="T78" s="30"/>
    </row>
    <row r="79" spans="2:20" x14ac:dyDescent="0.2">
      <c r="B79" s="20">
        <v>0.64583333333333304</v>
      </c>
      <c r="C79" s="19">
        <v>68.478866577148438</v>
      </c>
      <c r="D79" s="3">
        <v>19.408584594726563</v>
      </c>
      <c r="E79" s="19">
        <f t="shared" si="1"/>
        <v>71.176178063039842</v>
      </c>
      <c r="F79" s="19">
        <v>57.266250610351563</v>
      </c>
      <c r="G79" s="19">
        <v>-1.5698655843734741</v>
      </c>
      <c r="H79" s="19">
        <f t="shared" si="2"/>
        <v>57.287764286281856</v>
      </c>
      <c r="I79" s="19"/>
      <c r="J79" s="19"/>
      <c r="K79" s="22">
        <f t="shared" si="0"/>
        <v>0</v>
      </c>
      <c r="L79" s="22">
        <v>6</v>
      </c>
      <c r="M79" s="22">
        <v>8.8000000000000007</v>
      </c>
      <c r="N79" s="24">
        <v>8.8000000000000007</v>
      </c>
      <c r="O79" s="22">
        <f t="shared" si="3"/>
        <v>103.69110309558117</v>
      </c>
      <c r="P79" s="3"/>
      <c r="Q79" s="25">
        <f t="shared" si="4"/>
        <v>23.6</v>
      </c>
      <c r="R79" s="30">
        <f t="shared" si="5"/>
        <v>8.3617427275095011</v>
      </c>
      <c r="S79" s="30"/>
      <c r="T79" s="30"/>
    </row>
    <row r="80" spans="2:20" x14ac:dyDescent="0.2">
      <c r="B80" s="20">
        <v>0.65277777777777801</v>
      </c>
      <c r="C80" s="19">
        <v>68.880752563476563</v>
      </c>
      <c r="D80" s="3">
        <v>19.247831344604492</v>
      </c>
      <c r="E80" s="19">
        <f t="shared" si="1"/>
        <v>71.519487450492974</v>
      </c>
      <c r="F80" s="19">
        <v>57.627944946289063</v>
      </c>
      <c r="G80" s="19">
        <v>-1.4091111421585083</v>
      </c>
      <c r="H80" s="19">
        <f t="shared" si="2"/>
        <v>57.645170074720731</v>
      </c>
      <c r="I80" s="19"/>
      <c r="J80" s="19"/>
      <c r="K80" s="22">
        <f t="shared" si="0"/>
        <v>0</v>
      </c>
      <c r="L80" s="22">
        <v>6</v>
      </c>
      <c r="M80" s="22">
        <v>8.8000000000000007</v>
      </c>
      <c r="N80" s="24">
        <v>8.8000000000000007</v>
      </c>
      <c r="O80" s="22">
        <f t="shared" si="3"/>
        <v>104.44338160753699</v>
      </c>
      <c r="P80" s="3"/>
      <c r="Q80" s="25">
        <f t="shared" si="4"/>
        <v>23.6</v>
      </c>
      <c r="R80" s="30">
        <f t="shared" si="5"/>
        <v>9.0949649537338448</v>
      </c>
      <c r="S80" s="30"/>
      <c r="T80" s="30"/>
    </row>
    <row r="81" spans="1:24" x14ac:dyDescent="0.2">
      <c r="B81" s="20">
        <v>0.65972222222222199</v>
      </c>
      <c r="C81" s="19">
        <v>68.117172241210938</v>
      </c>
      <c r="D81" s="3">
        <v>18.966510772705078</v>
      </c>
      <c r="E81" s="19">
        <f t="shared" si="1"/>
        <v>70.70839897091389</v>
      </c>
      <c r="F81" s="19">
        <v>57.467193603515625</v>
      </c>
      <c r="G81" s="19">
        <v>-1.4492998123168945</v>
      </c>
      <c r="H81" s="19">
        <f t="shared" si="2"/>
        <v>57.485466081522979</v>
      </c>
      <c r="I81" s="19"/>
      <c r="J81" s="19"/>
      <c r="K81" s="22">
        <f t="shared" si="0"/>
        <v>0</v>
      </c>
      <c r="L81" s="22">
        <v>6</v>
      </c>
      <c r="M81" s="22">
        <v>8.8000000000000007</v>
      </c>
      <c r="N81" s="24">
        <v>8.8000000000000007</v>
      </c>
      <c r="O81" s="22">
        <f t="shared" si="3"/>
        <v>103.47784089640533</v>
      </c>
      <c r="P81" s="3"/>
      <c r="Q81" s="25">
        <f t="shared" si="4"/>
        <v>23.6</v>
      </c>
      <c r="R81" s="30">
        <f t="shared" si="5"/>
        <v>8.1671563347315281</v>
      </c>
      <c r="S81" s="30"/>
      <c r="T81" s="30"/>
    </row>
    <row r="82" spans="1:24" x14ac:dyDescent="0.2">
      <c r="B82" s="20">
        <v>0.66666666666666696</v>
      </c>
      <c r="C82" s="19">
        <v>68.277923583984375</v>
      </c>
      <c r="D82" s="3">
        <v>19.04688835144043</v>
      </c>
      <c r="E82" s="19">
        <f t="shared" si="1"/>
        <v>70.884827747640372</v>
      </c>
      <c r="F82" s="19">
        <v>56.824172973632813</v>
      </c>
      <c r="G82" s="19">
        <v>-1.4091111421585083</v>
      </c>
      <c r="H82" s="19">
        <f t="shared" si="2"/>
        <v>56.841641675344817</v>
      </c>
      <c r="I82" s="19"/>
      <c r="J82" s="19"/>
      <c r="K82" s="22">
        <f t="shared" si="0"/>
        <v>0</v>
      </c>
      <c r="L82" s="22">
        <v>6</v>
      </c>
      <c r="M82" s="22">
        <v>8.8000000000000007</v>
      </c>
      <c r="N82" s="24">
        <v>8.8000000000000007</v>
      </c>
      <c r="O82" s="22">
        <f t="shared" si="3"/>
        <v>103.02313716091211</v>
      </c>
      <c r="P82" s="3"/>
      <c r="Q82" s="25">
        <f t="shared" si="4"/>
        <v>23.6</v>
      </c>
      <c r="R82" s="30">
        <f t="shared" si="5"/>
        <v>7.7280733181272065</v>
      </c>
      <c r="S82" s="30"/>
      <c r="T82" s="30"/>
    </row>
    <row r="83" spans="1:24" x14ac:dyDescent="0.2">
      <c r="B83" s="20">
        <v>0.67361111111111105</v>
      </c>
      <c r="C83" s="19">
        <v>68.478866577148438</v>
      </c>
      <c r="D83" s="3">
        <v>19.167453765869141</v>
      </c>
      <c r="E83" s="19">
        <f t="shared" si="1"/>
        <v>71.110804042407139</v>
      </c>
      <c r="F83" s="19">
        <v>56.663421630859375</v>
      </c>
      <c r="G83" s="19">
        <v>-1.8511857986450195</v>
      </c>
      <c r="H83" s="19">
        <f t="shared" si="2"/>
        <v>56.693652552800366</v>
      </c>
      <c r="I83" s="19"/>
      <c r="J83" s="19"/>
      <c r="K83" s="22">
        <f t="shared" si="0"/>
        <v>0</v>
      </c>
      <c r="L83" s="22">
        <v>6</v>
      </c>
      <c r="M83" s="22">
        <v>8.8000000000000007</v>
      </c>
      <c r="N83" s="24">
        <v>8.8000000000000007</v>
      </c>
      <c r="O83" s="22">
        <f t="shared" si="3"/>
        <v>103.00820079406705</v>
      </c>
      <c r="P83" s="3"/>
      <c r="Q83" s="25">
        <f t="shared" si="4"/>
        <v>23.6</v>
      </c>
      <c r="R83" s="30">
        <f t="shared" si="5"/>
        <v>7.7118030246556666</v>
      </c>
      <c r="S83" s="30"/>
      <c r="T83" s="30"/>
    </row>
    <row r="84" spans="1:24" x14ac:dyDescent="0.2">
      <c r="B84" s="20">
        <v>0.68055555555555503</v>
      </c>
      <c r="C84" s="19">
        <v>68.197547912597656</v>
      </c>
      <c r="D84" s="3">
        <v>18.966510772705078</v>
      </c>
      <c r="E84" s="19">
        <f t="shared" si="1"/>
        <v>70.785832425579272</v>
      </c>
      <c r="F84" s="19">
        <v>56.62322998046875</v>
      </c>
      <c r="G84" s="19">
        <v>-1.7306200265884399</v>
      </c>
      <c r="H84" s="19">
        <f t="shared" si="2"/>
        <v>56.649670953126325</v>
      </c>
      <c r="I84" s="19"/>
      <c r="J84" s="19"/>
      <c r="K84" s="22">
        <f t="shared" si="0"/>
        <v>0</v>
      </c>
      <c r="L84" s="22">
        <v>6</v>
      </c>
      <c r="M84" s="22">
        <v>8.8000000000000007</v>
      </c>
      <c r="N84" s="24">
        <v>8.8000000000000007</v>
      </c>
      <c r="O84" s="22">
        <f t="shared" si="3"/>
        <v>102.67775711949278</v>
      </c>
      <c r="P84" s="3"/>
      <c r="Q84" s="25">
        <f t="shared" si="4"/>
        <v>23.6</v>
      </c>
      <c r="R84" s="30">
        <f t="shared" si="5"/>
        <v>7.3970198707260861</v>
      </c>
      <c r="S84" s="30"/>
      <c r="T84" s="30"/>
    </row>
    <row r="85" spans="1:24" x14ac:dyDescent="0.2">
      <c r="B85" s="20">
        <v>0.6875</v>
      </c>
      <c r="C85" s="19">
        <v>68.197547912597656</v>
      </c>
      <c r="D85" s="3">
        <v>19.087076187133789</v>
      </c>
      <c r="E85" s="19">
        <f t="shared" si="1"/>
        <v>70.818232247525799</v>
      </c>
      <c r="F85" s="19">
        <v>57.0653076171875</v>
      </c>
      <c r="G85" s="19">
        <v>-1.5698655843734741</v>
      </c>
      <c r="H85" s="19">
        <f t="shared" si="2"/>
        <v>57.086897020220306</v>
      </c>
      <c r="I85" s="19"/>
      <c r="J85" s="19"/>
      <c r="K85" s="22">
        <f t="shared" si="0"/>
        <v>0</v>
      </c>
      <c r="L85" s="22">
        <v>6</v>
      </c>
      <c r="M85" s="22">
        <v>8.8000000000000007</v>
      </c>
      <c r="N85" s="24">
        <v>8.8000000000000007</v>
      </c>
      <c r="O85" s="22">
        <f t="shared" si="3"/>
        <v>103.16098517255169</v>
      </c>
      <c r="P85" s="3"/>
      <c r="Q85" s="25">
        <f t="shared" si="4"/>
        <v>23.6</v>
      </c>
      <c r="R85" s="30">
        <f t="shared" si="5"/>
        <v>7.8589815031500976</v>
      </c>
      <c r="S85" s="30"/>
      <c r="T85" s="30"/>
    </row>
    <row r="86" spans="1:24" x14ac:dyDescent="0.2">
      <c r="B86" s="20">
        <v>0.69444444444444398</v>
      </c>
      <c r="C86" s="19">
        <v>68.277923583984375</v>
      </c>
      <c r="D86" s="3">
        <v>18.845945358276367</v>
      </c>
      <c r="E86" s="19">
        <f t="shared" si="1"/>
        <v>70.831098434145076</v>
      </c>
      <c r="F86" s="19">
        <v>57.185871124267578</v>
      </c>
      <c r="G86" s="19">
        <v>-1.5296770334243774</v>
      </c>
      <c r="H86" s="19">
        <f t="shared" si="2"/>
        <v>57.206326294107775</v>
      </c>
      <c r="I86" s="19"/>
      <c r="J86" s="19"/>
      <c r="K86" s="22">
        <f t="shared" ref="K86:K88" si="6">SUM(I86:J86)</f>
        <v>0</v>
      </c>
      <c r="L86" s="22">
        <v>6</v>
      </c>
      <c r="M86" s="22">
        <v>8.8000000000000007</v>
      </c>
      <c r="N86" s="24">
        <v>8.8000000000000007</v>
      </c>
      <c r="O86" s="22">
        <f t="shared" si="3"/>
        <v>103.32514612166378</v>
      </c>
      <c r="P86" s="3"/>
      <c r="Q86" s="25">
        <f t="shared" si="4"/>
        <v>23.6</v>
      </c>
      <c r="R86" s="30">
        <f t="shared" si="5"/>
        <v>8.0250582482347497</v>
      </c>
      <c r="S86" s="30"/>
      <c r="T86" s="30"/>
    </row>
    <row r="87" spans="1:24" x14ac:dyDescent="0.2">
      <c r="B87" s="20">
        <v>0.70138888888888895</v>
      </c>
      <c r="C87" s="19">
        <v>68.76019287109375</v>
      </c>
      <c r="D87" s="3">
        <v>18.966510772705078</v>
      </c>
      <c r="E87" s="19">
        <f t="shared" ref="E87:E88" si="7">SQRT(SUM(POWER(C87,2),POWER(D87,2)))</f>
        <v>71.328063583425205</v>
      </c>
      <c r="F87" s="19">
        <v>56.743797302246094</v>
      </c>
      <c r="G87" s="19">
        <v>-1.248356819152832</v>
      </c>
      <c r="H87" s="19">
        <f t="shared" ref="H87:H88" si="8">SQRT(SUM(POWER(F87,2),POWER(G87,2)))</f>
        <v>56.75752749218659</v>
      </c>
      <c r="I87" s="19"/>
      <c r="J87" s="19"/>
      <c r="K87" s="22">
        <f t="shared" si="6"/>
        <v>0</v>
      </c>
      <c r="L87" s="22">
        <v>6</v>
      </c>
      <c r="M87" s="22">
        <v>8.8000000000000007</v>
      </c>
      <c r="N87" s="24">
        <v>8.8000000000000007</v>
      </c>
      <c r="O87" s="22">
        <f t="shared" ref="O87:O88" si="9">SQRT(SUM(POWER(SUM((C87+F87),-Q87),2),POWER((D87+G87),2)))</f>
        <v>103.43285838054521</v>
      </c>
      <c r="P87" s="3"/>
      <c r="Q87" s="25">
        <f t="shared" ref="Q87:Q91" si="10">SUM(L87:N87)</f>
        <v>23.6</v>
      </c>
      <c r="R87" s="30">
        <f t="shared" ref="R87:R88" si="11">IF(O87&gt;95,(O87-95)*C87/E87,"Aucun délestage")</f>
        <v>8.1292683352145438</v>
      </c>
      <c r="S87" s="30"/>
      <c r="T87" s="30"/>
    </row>
    <row r="88" spans="1:24" x14ac:dyDescent="0.2">
      <c r="B88" s="20">
        <v>0.70833333333333304</v>
      </c>
      <c r="C88" s="19">
        <v>69.242454528808594</v>
      </c>
      <c r="D88" s="3">
        <v>19.529151916503906</v>
      </c>
      <c r="E88" s="19">
        <f t="shared" si="7"/>
        <v>71.943764731573609</v>
      </c>
      <c r="F88" s="19">
        <v>57.266250610351563</v>
      </c>
      <c r="G88" s="19">
        <v>-1.3689225912094116</v>
      </c>
      <c r="H88" s="19">
        <f t="shared" si="8"/>
        <v>57.282609996650066</v>
      </c>
      <c r="I88" s="19"/>
      <c r="J88" s="19"/>
      <c r="K88" s="22">
        <f t="shared" si="6"/>
        <v>0</v>
      </c>
      <c r="L88" s="22">
        <v>6</v>
      </c>
      <c r="M88" s="22">
        <v>8.8000000000000007</v>
      </c>
      <c r="N88" s="24">
        <v>8.8000000000000007</v>
      </c>
      <c r="O88" s="22">
        <f t="shared" si="9"/>
        <v>104.49878239752795</v>
      </c>
      <c r="P88" s="3"/>
      <c r="Q88" s="25">
        <f t="shared" si="10"/>
        <v>23.6</v>
      </c>
      <c r="R88" s="30">
        <f t="shared" si="11"/>
        <v>9.1421266414659339</v>
      </c>
      <c r="S88" s="41"/>
      <c r="T88" s="41"/>
    </row>
    <row r="89" spans="1:24" x14ac:dyDescent="0.2">
      <c r="B89" s="20">
        <v>0.71527777777777801</v>
      </c>
      <c r="C89" s="19"/>
      <c r="D89" s="3"/>
      <c r="E89" s="19">
        <f t="shared" ref="E89:E91" si="12">SQRT(SUM(POWER(C89,2),POWER(D89,2)))</f>
        <v>0</v>
      </c>
      <c r="F89" s="19"/>
      <c r="G89" s="19"/>
      <c r="H89" s="19">
        <f t="shared" ref="H89:H91" si="13">SQRT(SUM(POWER(F89,2),POWER(G89,2)))</f>
        <v>0</v>
      </c>
      <c r="I89" s="19"/>
      <c r="J89" s="19"/>
      <c r="K89" s="22"/>
      <c r="L89" s="22"/>
      <c r="M89" s="22"/>
      <c r="N89" s="24"/>
      <c r="O89" s="22"/>
      <c r="P89" s="3"/>
      <c r="Q89" s="25">
        <f t="shared" si="10"/>
        <v>0</v>
      </c>
      <c r="R89" s="30"/>
      <c r="S89" s="41"/>
      <c r="T89" s="41"/>
    </row>
    <row r="90" spans="1:24" x14ac:dyDescent="0.2">
      <c r="B90" s="20">
        <v>0.72222222222222199</v>
      </c>
      <c r="C90" s="19"/>
      <c r="D90" s="3"/>
      <c r="E90" s="19">
        <f t="shared" si="12"/>
        <v>0</v>
      </c>
      <c r="F90" s="19"/>
      <c r="G90" s="19"/>
      <c r="H90" s="19">
        <f t="shared" si="13"/>
        <v>0</v>
      </c>
      <c r="I90" s="19"/>
      <c r="J90" s="19"/>
      <c r="K90" s="22"/>
      <c r="L90" s="22"/>
      <c r="M90" s="22"/>
      <c r="N90" s="24"/>
      <c r="O90" s="22"/>
      <c r="P90" s="3"/>
      <c r="Q90" s="25">
        <f t="shared" si="10"/>
        <v>0</v>
      </c>
      <c r="R90" s="30"/>
      <c r="S90" s="41"/>
      <c r="T90" s="41"/>
    </row>
    <row r="91" spans="1:24" x14ac:dyDescent="0.2">
      <c r="B91" s="20">
        <v>0.72916666666666696</v>
      </c>
      <c r="C91" s="19"/>
      <c r="D91" s="3"/>
      <c r="E91" s="19">
        <f t="shared" si="12"/>
        <v>0</v>
      </c>
      <c r="F91" s="19"/>
      <c r="G91" s="19"/>
      <c r="H91" s="19">
        <f t="shared" si="13"/>
        <v>0</v>
      </c>
      <c r="I91" s="19"/>
      <c r="J91" s="19"/>
      <c r="K91" s="22"/>
      <c r="L91" s="22"/>
      <c r="M91" s="22"/>
      <c r="N91" s="24"/>
      <c r="O91" s="22"/>
      <c r="P91" s="3"/>
      <c r="Q91" s="25">
        <f t="shared" si="10"/>
        <v>0</v>
      </c>
      <c r="R91" s="30"/>
      <c r="S91" s="41"/>
      <c r="T91" s="41"/>
    </row>
    <row r="92" spans="1:24" x14ac:dyDescent="0.2">
      <c r="A92" s="17"/>
      <c r="R92" s="29"/>
      <c r="S92" s="29"/>
      <c r="T92" s="29"/>
    </row>
    <row r="93" spans="1:24" x14ac:dyDescent="0.2">
      <c r="R93" s="29"/>
      <c r="S93" s="29"/>
      <c r="T93" s="29"/>
    </row>
    <row r="94" spans="1:24" x14ac:dyDescent="0.2">
      <c r="A94" s="7" t="s">
        <v>35</v>
      </c>
      <c r="B94" s="18"/>
      <c r="C94" s="31">
        <f>SUM(C22,C79)/12+SUM(C23:C78)/6</f>
        <v>655.6297664642334</v>
      </c>
      <c r="D94" s="31">
        <f t="shared" ref="D94:T94" si="14">SUM(D22,D79)/12+SUM(D23:D78)/6</f>
        <v>191.03947242101034</v>
      </c>
      <c r="E94" s="31">
        <f t="shared" si="14"/>
        <v>682.93619131298919</v>
      </c>
      <c r="F94" s="31">
        <f t="shared" si="14"/>
        <v>551.52789274851477</v>
      </c>
      <c r="G94" s="31">
        <f t="shared" si="14"/>
        <v>-14.063064500883533</v>
      </c>
      <c r="H94" s="31">
        <f t="shared" si="14"/>
        <v>551.83880756567669</v>
      </c>
      <c r="I94" s="31">
        <f t="shared" si="14"/>
        <v>0</v>
      </c>
      <c r="J94" s="31">
        <f t="shared" si="14"/>
        <v>0</v>
      </c>
      <c r="K94" s="31">
        <f t="shared" si="14"/>
        <v>0</v>
      </c>
      <c r="L94" s="31">
        <f t="shared" si="14"/>
        <v>57</v>
      </c>
      <c r="M94" s="31">
        <f t="shared" si="14"/>
        <v>83.600000000000065</v>
      </c>
      <c r="N94" s="31">
        <f t="shared" si="14"/>
        <v>83.600000000000065</v>
      </c>
      <c r="O94" s="31">
        <f t="shared" si="14"/>
        <v>998.86893303399927</v>
      </c>
      <c r="P94" s="31">
        <f t="shared" si="14"/>
        <v>0</v>
      </c>
      <c r="Q94" s="31">
        <f t="shared" si="14"/>
        <v>224.1999999999999</v>
      </c>
      <c r="R94" s="31">
        <f t="shared" si="14"/>
        <v>92.419455363121543</v>
      </c>
      <c r="S94" s="31">
        <f t="shared" si="14"/>
        <v>0</v>
      </c>
      <c r="T94" s="31">
        <f t="shared" si="14"/>
        <v>0</v>
      </c>
      <c r="V94" s="35"/>
      <c r="W94" s="36"/>
      <c r="X94" s="37"/>
    </row>
    <row r="95" spans="1:24" x14ac:dyDescent="0.2">
      <c r="C95" s="26"/>
      <c r="D95" s="26"/>
      <c r="E95" s="26"/>
      <c r="F95" s="26"/>
      <c r="G95" s="26"/>
      <c r="H95" s="26"/>
      <c r="I95" s="26"/>
      <c r="J95" s="26"/>
      <c r="K95" s="26"/>
      <c r="L95" s="26"/>
      <c r="M95" s="26"/>
      <c r="N95" s="26"/>
      <c r="O95" s="26"/>
      <c r="P95" s="26"/>
      <c r="Q95" s="26"/>
      <c r="R95" s="32"/>
      <c r="S95" s="32"/>
      <c r="T95" s="32"/>
      <c r="V95" s="35"/>
      <c r="W95" s="38"/>
      <c r="X95" s="37"/>
    </row>
    <row r="96" spans="1:24" x14ac:dyDescent="0.2">
      <c r="A96" s="1" t="s">
        <v>37</v>
      </c>
      <c r="B96" s="2"/>
      <c r="C96" s="27">
        <f t="shared" ref="C96:T96" si="15">MAX(C16:C91)</f>
        <v>73.462257385253906</v>
      </c>
      <c r="D96" s="27">
        <f t="shared" si="15"/>
        <v>23.628389358520508</v>
      </c>
      <c r="E96" s="27">
        <f t="shared" si="15"/>
        <v>77.131841395421645</v>
      </c>
      <c r="F96" s="27">
        <f t="shared" si="15"/>
        <v>62.410388946533203</v>
      </c>
      <c r="G96" s="27">
        <f t="shared" si="15"/>
        <v>1.9667314291000366</v>
      </c>
      <c r="H96" s="27">
        <f t="shared" si="15"/>
        <v>62.416061133512642</v>
      </c>
      <c r="I96" s="27">
        <f t="shared" si="15"/>
        <v>0</v>
      </c>
      <c r="J96" s="27">
        <f t="shared" si="15"/>
        <v>0</v>
      </c>
      <c r="K96" s="27">
        <f t="shared" si="15"/>
        <v>0</v>
      </c>
      <c r="L96" s="27"/>
      <c r="M96" s="27"/>
      <c r="N96" s="27">
        <f>MAX(N16:N91)</f>
        <v>8.8000000000000007</v>
      </c>
      <c r="O96" s="27"/>
      <c r="P96" s="27">
        <f t="shared" si="15"/>
        <v>0</v>
      </c>
      <c r="Q96" s="27">
        <f t="shared" si="15"/>
        <v>23.6</v>
      </c>
      <c r="R96" s="31">
        <f t="shared" si="15"/>
        <v>18.23593810541945</v>
      </c>
      <c r="S96" s="31">
        <f t="shared" si="15"/>
        <v>0</v>
      </c>
      <c r="T96" s="31">
        <f t="shared" si="15"/>
        <v>0</v>
      </c>
      <c r="V96" s="35"/>
      <c r="W96" s="38"/>
      <c r="X96" s="37"/>
    </row>
    <row r="97" spans="1:24" x14ac:dyDescent="0.2">
      <c r="A97" s="1" t="s">
        <v>38</v>
      </c>
      <c r="B97" s="2"/>
      <c r="C97" s="27">
        <f t="shared" ref="C97:T97" si="16">MIN(C16:C91)</f>
        <v>63.937557220458984</v>
      </c>
      <c r="D97" s="27">
        <f t="shared" si="16"/>
        <v>17.680475234985352</v>
      </c>
      <c r="E97" s="27">
        <f t="shared" si="16"/>
        <v>0</v>
      </c>
      <c r="F97" s="27">
        <f t="shared" si="16"/>
        <v>53.086635589599609</v>
      </c>
      <c r="G97" s="27">
        <f t="shared" si="16"/>
        <v>-4.1821246147155762</v>
      </c>
      <c r="H97" s="27">
        <f t="shared" si="16"/>
        <v>0</v>
      </c>
      <c r="I97" s="27">
        <f t="shared" si="16"/>
        <v>0</v>
      </c>
      <c r="J97" s="27">
        <f t="shared" si="16"/>
        <v>0</v>
      </c>
      <c r="K97" s="27">
        <f t="shared" si="16"/>
        <v>0</v>
      </c>
      <c r="L97" s="27"/>
      <c r="M97" s="27"/>
      <c r="N97" s="27">
        <f>MIN(N16:N91)</f>
        <v>8.8000000000000007</v>
      </c>
      <c r="O97" s="27"/>
      <c r="P97" s="27">
        <f t="shared" si="16"/>
        <v>0</v>
      </c>
      <c r="Q97" s="27">
        <f t="shared" si="16"/>
        <v>0</v>
      </c>
      <c r="R97" s="31">
        <f t="shared" si="16"/>
        <v>3.8628485153358754</v>
      </c>
      <c r="S97" s="31">
        <f t="shared" si="16"/>
        <v>0</v>
      </c>
      <c r="T97" s="31">
        <f t="shared" si="16"/>
        <v>0</v>
      </c>
      <c r="V97" s="35"/>
      <c r="W97" s="38"/>
      <c r="X97" s="37"/>
    </row>
    <row r="98" spans="1:24" x14ac:dyDescent="0.2">
      <c r="A98" s="1" t="s">
        <v>39</v>
      </c>
      <c r="B98" s="2"/>
      <c r="C98" s="27">
        <f t="shared" ref="C98:T98" si="17">AVERAGE(C16:C91)</f>
        <v>68.962931789568998</v>
      </c>
      <c r="D98" s="27">
        <f t="shared" si="17"/>
        <v>19.985021875865424</v>
      </c>
      <c r="E98" s="27">
        <f t="shared" si="17"/>
        <v>68.7273146907024</v>
      </c>
      <c r="F98" s="27">
        <f t="shared" si="17"/>
        <v>57.927861740340049</v>
      </c>
      <c r="G98" s="27">
        <f t="shared" si="17"/>
        <v>-1.475092482339563</v>
      </c>
      <c r="H98" s="27">
        <f t="shared" si="17"/>
        <v>55.47464182498431</v>
      </c>
      <c r="I98" s="27" t="e">
        <f t="shared" si="17"/>
        <v>#DIV/0!</v>
      </c>
      <c r="J98" s="27" t="e">
        <f t="shared" si="17"/>
        <v>#DIV/0!</v>
      </c>
      <c r="K98" s="27">
        <f t="shared" si="17"/>
        <v>0</v>
      </c>
      <c r="L98" s="27"/>
      <c r="M98" s="27"/>
      <c r="N98" s="27">
        <f>AVERAGE(N16:N91)</f>
        <v>8.8000000000000007</v>
      </c>
      <c r="O98" s="27"/>
      <c r="P98" s="27" t="e">
        <f t="shared" si="17"/>
        <v>#DIV/0!</v>
      </c>
      <c r="Q98" s="27">
        <f t="shared" si="17"/>
        <v>22.588571428571406</v>
      </c>
      <c r="R98" s="31">
        <f t="shared" si="17"/>
        <v>9.5432547996630976</v>
      </c>
      <c r="S98" s="31" t="e">
        <f t="shared" si="17"/>
        <v>#DIV/0!</v>
      </c>
      <c r="T98" s="31" t="e">
        <f t="shared" si="17"/>
        <v>#DIV/0!</v>
      </c>
      <c r="V98" s="35"/>
      <c r="W98" s="38"/>
      <c r="X98" s="37"/>
    </row>
    <row r="99" spans="1:24" x14ac:dyDescent="0.2">
      <c r="V99" s="35"/>
      <c r="W99" s="38"/>
      <c r="X99" s="37"/>
    </row>
    <row r="100" spans="1:24" x14ac:dyDescent="0.2">
      <c r="N100">
        <f>+N94*C8/1000000000</f>
        <v>4.1800000000000032E-3</v>
      </c>
      <c r="P100">
        <f>P94*C9/1000000000</f>
        <v>0</v>
      </c>
      <c r="V100" s="35"/>
      <c r="W100" s="38"/>
      <c r="X100" s="37"/>
    </row>
    <row r="101" spans="1:24" x14ac:dyDescent="0.2">
      <c r="B101" s="42" t="s">
        <v>54</v>
      </c>
      <c r="C101" s="4" t="s">
        <v>40</v>
      </c>
      <c r="D101" s="42" t="s">
        <v>65</v>
      </c>
      <c r="E101" s="42" t="s">
        <v>66</v>
      </c>
      <c r="F101" s="43" t="s">
        <v>67</v>
      </c>
      <c r="G101" s="43"/>
      <c r="V101" s="35"/>
      <c r="W101" s="38"/>
      <c r="X101" s="37"/>
    </row>
    <row r="102" spans="1:24" ht="25.5" x14ac:dyDescent="0.2">
      <c r="A102" s="13" t="s">
        <v>46</v>
      </c>
      <c r="B102" s="12">
        <f>$R$94*$C$3/1000000</f>
        <v>6.9314591522341154</v>
      </c>
      <c r="C102" s="12">
        <f>SUM(D102:G102)</f>
        <v>29.602000000000025</v>
      </c>
      <c r="D102" s="45">
        <f>$C$8*L94/1000000</f>
        <v>2.85</v>
      </c>
      <c r="E102" s="4">
        <f>$C$9*M94/1000000</f>
        <v>13.376000000000012</v>
      </c>
      <c r="F102" s="4">
        <f>$C$9*M94/1000000</f>
        <v>13.376000000000012</v>
      </c>
      <c r="G102" s="4"/>
      <c r="V102" s="35"/>
      <c r="W102" s="38"/>
      <c r="X102" s="37"/>
    </row>
    <row r="103" spans="1:24" ht="51" x14ac:dyDescent="0.2">
      <c r="A103" s="14" t="s">
        <v>48</v>
      </c>
      <c r="B103" s="12">
        <f>T94*$C$4/1000000</f>
        <v>0</v>
      </c>
      <c r="C103" s="12">
        <v>0</v>
      </c>
      <c r="D103" s="44"/>
      <c r="E103" s="44"/>
      <c r="F103" s="44"/>
      <c r="G103" s="44"/>
      <c r="V103" s="35"/>
      <c r="W103" s="38"/>
      <c r="X103" s="37"/>
    </row>
    <row r="104" spans="1:24" x14ac:dyDescent="0.2">
      <c r="C104" s="11"/>
      <c r="D104" s="11"/>
      <c r="V104" s="35"/>
      <c r="W104" s="38"/>
      <c r="X104" s="37"/>
    </row>
    <row r="105" spans="1:24" x14ac:dyDescent="0.2">
      <c r="V105" s="35"/>
      <c r="W105" s="38"/>
      <c r="X105" s="37"/>
    </row>
    <row r="106" spans="1:24" x14ac:dyDescent="0.2">
      <c r="A106" s="15" t="s">
        <v>45</v>
      </c>
      <c r="B106" s="33">
        <f>C102+B102</f>
        <v>36.533459152234144</v>
      </c>
      <c r="C106" s="34" t="s">
        <v>49</v>
      </c>
      <c r="E106">
        <f>+(B102+C102)/9.5</f>
        <v>3.8456272791825414</v>
      </c>
      <c r="V106" s="35"/>
      <c r="W106" s="38"/>
      <c r="X106" s="37"/>
    </row>
    <row r="107" spans="1:24" x14ac:dyDescent="0.2">
      <c r="A107" s="16"/>
      <c r="B107" s="33">
        <f>C103+B103</f>
        <v>0</v>
      </c>
      <c r="C107" s="34" t="s">
        <v>49</v>
      </c>
      <c r="V107" s="35"/>
      <c r="W107" s="38"/>
      <c r="X107" s="37"/>
    </row>
    <row r="108" spans="1:24" x14ac:dyDescent="0.2">
      <c r="V108" s="35"/>
      <c r="W108" s="38"/>
      <c r="X108" s="37"/>
    </row>
    <row r="109" spans="1:24" x14ac:dyDescent="0.2">
      <c r="V109" s="35"/>
      <c r="W109" s="38"/>
      <c r="X109" s="37"/>
    </row>
    <row r="110" spans="1:24" x14ac:dyDescent="0.2">
      <c r="V110" s="35"/>
      <c r="W110" s="38"/>
      <c r="X110" s="37"/>
    </row>
    <row r="111" spans="1:24" x14ac:dyDescent="0.2">
      <c r="V111" s="35"/>
      <c r="W111" s="38"/>
      <c r="X111" s="37"/>
    </row>
    <row r="112" spans="1:24" x14ac:dyDescent="0.2">
      <c r="V112" s="35"/>
      <c r="W112" s="38"/>
      <c r="X112" s="37"/>
    </row>
    <row r="113" spans="22:24" x14ac:dyDescent="0.2">
      <c r="V113" s="35"/>
      <c r="W113" s="38"/>
      <c r="X113" s="37"/>
    </row>
    <row r="114" spans="22:24" x14ac:dyDescent="0.2">
      <c r="V114" s="35"/>
      <c r="W114" s="38"/>
      <c r="X114" s="37"/>
    </row>
    <row r="115" spans="22:24" x14ac:dyDescent="0.2">
      <c r="V115" s="35"/>
      <c r="W115" s="38"/>
      <c r="X115" s="37"/>
    </row>
    <row r="116" spans="22:24" x14ac:dyDescent="0.2">
      <c r="V116" s="35"/>
      <c r="W116" s="38"/>
      <c r="X116" s="37"/>
    </row>
    <row r="117" spans="22:24" x14ac:dyDescent="0.2">
      <c r="V117" s="35"/>
      <c r="W117" s="38"/>
      <c r="X117" s="37"/>
    </row>
    <row r="118" spans="22:24" x14ac:dyDescent="0.2">
      <c r="V118" s="35"/>
      <c r="W118" s="38"/>
      <c r="X118" s="37"/>
    </row>
    <row r="119" spans="22:24" x14ac:dyDescent="0.2">
      <c r="V119" s="35"/>
      <c r="W119" s="38"/>
      <c r="X119" s="37"/>
    </row>
    <row r="120" spans="22:24" x14ac:dyDescent="0.2">
      <c r="V120" s="35"/>
      <c r="W120" s="38"/>
      <c r="X120" s="37"/>
    </row>
    <row r="121" spans="22:24" x14ac:dyDescent="0.2">
      <c r="V121" s="35"/>
      <c r="W121" s="38"/>
      <c r="X121" s="37"/>
    </row>
    <row r="122" spans="22:24" x14ac:dyDescent="0.2">
      <c r="V122" s="35"/>
      <c r="W122" s="38"/>
      <c r="X122" s="37"/>
    </row>
    <row r="123" spans="22:24" x14ac:dyDescent="0.2">
      <c r="V123" s="35"/>
      <c r="W123" s="38"/>
      <c r="X123" s="37"/>
    </row>
    <row r="124" spans="22:24" x14ac:dyDescent="0.2">
      <c r="V124" s="39"/>
      <c r="W124" s="40"/>
      <c r="X124" s="37"/>
    </row>
    <row r="125" spans="22:24" x14ac:dyDescent="0.2">
      <c r="V125" s="39"/>
      <c r="W125" s="40"/>
      <c r="X125" s="37"/>
    </row>
    <row r="126" spans="22:24" x14ac:dyDescent="0.2">
      <c r="V126" s="39"/>
      <c r="W126" s="40"/>
      <c r="X126" s="37"/>
    </row>
    <row r="127" spans="22:24" x14ac:dyDescent="0.2">
      <c r="V127" s="39"/>
      <c r="W127" s="40"/>
      <c r="X127" s="37"/>
    </row>
    <row r="128" spans="22:24" x14ac:dyDescent="0.2">
      <c r="V128" s="39"/>
      <c r="W128" s="40"/>
      <c r="X128" s="37"/>
    </row>
    <row r="129" spans="22:24" x14ac:dyDescent="0.2">
      <c r="V129" s="39"/>
      <c r="W129" s="40"/>
      <c r="X129" s="37"/>
    </row>
    <row r="130" spans="22:24" x14ac:dyDescent="0.2">
      <c r="V130" s="39"/>
      <c r="W130" s="40"/>
      <c r="X130" s="37"/>
    </row>
    <row r="131" spans="22:24" x14ac:dyDescent="0.2">
      <c r="V131" s="39"/>
      <c r="W131" s="40"/>
      <c r="X131" s="37"/>
    </row>
    <row r="132" spans="22:24" x14ac:dyDescent="0.2">
      <c r="V132" s="39"/>
      <c r="W132" s="40"/>
      <c r="X132" s="37"/>
    </row>
    <row r="133" spans="22:24" x14ac:dyDescent="0.2">
      <c r="V133" s="39"/>
      <c r="W133" s="40"/>
      <c r="X133" s="37"/>
    </row>
    <row r="134" spans="22:24" x14ac:dyDescent="0.2">
      <c r="V134" s="39"/>
      <c r="W134" s="40"/>
      <c r="X134" s="37"/>
    </row>
    <row r="135" spans="22:24" x14ac:dyDescent="0.2">
      <c r="V135" s="39"/>
      <c r="W135" s="40"/>
      <c r="X135" s="37"/>
    </row>
    <row r="136" spans="22:24" x14ac:dyDescent="0.2">
      <c r="V136" s="39"/>
      <c r="W136" s="40"/>
      <c r="X136" s="37"/>
    </row>
    <row r="137" spans="22:24" x14ac:dyDescent="0.2">
      <c r="V137" s="39"/>
      <c r="W137" s="40"/>
      <c r="X137" s="37"/>
    </row>
    <row r="138" spans="22:24" x14ac:dyDescent="0.2">
      <c r="V138" s="39"/>
      <c r="W138" s="40"/>
      <c r="X138" s="37"/>
    </row>
    <row r="139" spans="22:24" x14ac:dyDescent="0.2">
      <c r="V139" s="39"/>
      <c r="W139" s="40"/>
      <c r="X139" s="37"/>
    </row>
    <row r="140" spans="22:24" x14ac:dyDescent="0.2">
      <c r="V140" s="39"/>
      <c r="W140" s="40"/>
      <c r="X140" s="37"/>
    </row>
    <row r="141" spans="22:24" x14ac:dyDescent="0.2">
      <c r="V141" s="39"/>
      <c r="W141" s="40"/>
      <c r="X141" s="37"/>
    </row>
    <row r="142" spans="22:24" x14ac:dyDescent="0.2">
      <c r="V142" s="39"/>
      <c r="W142" s="40"/>
      <c r="X142" s="37"/>
    </row>
    <row r="143" spans="22:24" x14ac:dyDescent="0.2">
      <c r="V143" s="39"/>
      <c r="W143" s="40"/>
      <c r="X143" s="37"/>
    </row>
    <row r="144" spans="22:24" x14ac:dyDescent="0.2">
      <c r="V144" s="39"/>
      <c r="W144" s="40"/>
      <c r="X144" s="37"/>
    </row>
    <row r="145" spans="22:24" x14ac:dyDescent="0.2">
      <c r="V145" s="39"/>
      <c r="W145" s="40"/>
      <c r="X145" s="37"/>
    </row>
    <row r="146" spans="22:24" x14ac:dyDescent="0.2">
      <c r="V146" s="39"/>
      <c r="W146" s="40"/>
      <c r="X146" s="37"/>
    </row>
    <row r="147" spans="22:24" x14ac:dyDescent="0.2">
      <c r="V147" s="39"/>
      <c r="W147" s="40"/>
      <c r="X147" s="37"/>
    </row>
    <row r="148" spans="22:24" x14ac:dyDescent="0.2">
      <c r="V148" s="39"/>
      <c r="W148" s="40"/>
      <c r="X148" s="37"/>
    </row>
    <row r="149" spans="22:24" x14ac:dyDescent="0.2">
      <c r="V149" s="39"/>
      <c r="W149" s="40"/>
      <c r="X149" s="37"/>
    </row>
    <row r="150" spans="22:24" x14ac:dyDescent="0.2">
      <c r="V150" s="39"/>
      <c r="W150" s="40"/>
      <c r="X150" s="37"/>
    </row>
    <row r="151" spans="22:24" x14ac:dyDescent="0.2">
      <c r="V151" s="39"/>
      <c r="W151" s="40"/>
      <c r="X151" s="37"/>
    </row>
    <row r="152" spans="22:24" x14ac:dyDescent="0.2">
      <c r="V152" s="39"/>
      <c r="W152" s="40"/>
      <c r="X152" s="37"/>
    </row>
    <row r="153" spans="22:24" x14ac:dyDescent="0.2">
      <c r="V153" s="39"/>
      <c r="W153" s="40"/>
      <c r="X153" s="37"/>
    </row>
    <row r="154" spans="22:24" x14ac:dyDescent="0.2">
      <c r="V154" s="39"/>
      <c r="W154" s="40"/>
      <c r="X154" s="37"/>
    </row>
    <row r="155" spans="22:24" x14ac:dyDescent="0.2">
      <c r="V155" s="39"/>
      <c r="W155" s="40"/>
      <c r="X155" s="37"/>
    </row>
    <row r="156" spans="22:24" x14ac:dyDescent="0.2">
      <c r="V156" s="39"/>
      <c r="W156" s="40"/>
      <c r="X156" s="37"/>
    </row>
    <row r="157" spans="22:24" x14ac:dyDescent="0.2">
      <c r="V157" s="39"/>
      <c r="W157" s="40"/>
      <c r="X157" s="37"/>
    </row>
    <row r="158" spans="22:24" x14ac:dyDescent="0.2">
      <c r="V158" s="39"/>
      <c r="W158" s="40"/>
      <c r="X158" s="37"/>
    </row>
    <row r="159" spans="22:24" x14ac:dyDescent="0.2">
      <c r="V159" s="39"/>
      <c r="W159" s="40"/>
      <c r="X159" s="37"/>
    </row>
    <row r="160" spans="22:24" x14ac:dyDescent="0.2">
      <c r="V160" s="39"/>
      <c r="W160" s="40"/>
      <c r="X160" s="37"/>
    </row>
    <row r="161" spans="22:24" x14ac:dyDescent="0.2">
      <c r="V161" s="39"/>
      <c r="W161" s="40"/>
      <c r="X161" s="37"/>
    </row>
    <row r="162" spans="22:24" x14ac:dyDescent="0.2">
      <c r="V162" s="39"/>
      <c r="W162" s="40"/>
      <c r="X162" s="37"/>
    </row>
    <row r="163" spans="22:24" x14ac:dyDescent="0.2">
      <c r="V163" s="39"/>
      <c r="W163" s="40"/>
      <c r="X163" s="37"/>
    </row>
    <row r="164" spans="22:24" x14ac:dyDescent="0.2">
      <c r="V164" s="39"/>
      <c r="W164" s="40"/>
      <c r="X164" s="37"/>
    </row>
    <row r="165" spans="22:24" x14ac:dyDescent="0.2">
      <c r="V165" s="39"/>
      <c r="W165" s="40"/>
      <c r="X165" s="37"/>
    </row>
    <row r="166" spans="22:24" x14ac:dyDescent="0.2">
      <c r="V166" s="39"/>
      <c r="W166" s="40"/>
      <c r="X166" s="37"/>
    </row>
    <row r="167" spans="22:24" x14ac:dyDescent="0.2">
      <c r="V167" s="39"/>
      <c r="W167" s="40"/>
      <c r="X167" s="37"/>
    </row>
    <row r="168" spans="22:24" x14ac:dyDescent="0.2">
      <c r="V168" s="39"/>
      <c r="W168" s="40"/>
      <c r="X168" s="37"/>
    </row>
    <row r="169" spans="22:24" x14ac:dyDescent="0.2">
      <c r="V169" s="39"/>
      <c r="W169" s="40"/>
      <c r="X169" s="37"/>
    </row>
    <row r="170" spans="22:24" x14ac:dyDescent="0.2">
      <c r="V170" s="39"/>
      <c r="W170" s="40"/>
      <c r="X170" s="37"/>
    </row>
    <row r="171" spans="22:24" x14ac:dyDescent="0.2">
      <c r="V171" s="39"/>
      <c r="W171" s="40"/>
      <c r="X171" s="37"/>
    </row>
    <row r="172" spans="22:24" x14ac:dyDescent="0.2">
      <c r="V172" s="39"/>
      <c r="W172" s="40"/>
      <c r="X172" s="37"/>
    </row>
    <row r="173" spans="22:24" x14ac:dyDescent="0.2">
      <c r="V173" s="39"/>
      <c r="W173" s="40"/>
      <c r="X173" s="37"/>
    </row>
    <row r="174" spans="22:24" x14ac:dyDescent="0.2">
      <c r="V174" s="39"/>
      <c r="W174" s="40"/>
      <c r="X174" s="37"/>
    </row>
    <row r="175" spans="22:24" x14ac:dyDescent="0.2">
      <c r="V175" s="39"/>
      <c r="W175" s="40"/>
      <c r="X175" s="37"/>
    </row>
    <row r="176" spans="22:24" x14ac:dyDescent="0.2">
      <c r="V176" s="39"/>
      <c r="W176" s="40"/>
      <c r="X176" s="37"/>
    </row>
    <row r="177" spans="22:24" x14ac:dyDescent="0.2">
      <c r="V177" s="39"/>
      <c r="W177" s="40"/>
      <c r="X177" s="37"/>
    </row>
    <row r="178" spans="22:24" x14ac:dyDescent="0.2">
      <c r="V178" s="39"/>
      <c r="W178" s="40"/>
      <c r="X178" s="37"/>
    </row>
    <row r="179" spans="22:24" x14ac:dyDescent="0.2">
      <c r="V179" s="39"/>
      <c r="W179" s="40"/>
      <c r="X179" s="37"/>
    </row>
    <row r="180" spans="22:24" x14ac:dyDescent="0.2">
      <c r="V180" s="39"/>
      <c r="W180" s="40"/>
      <c r="X180" s="37"/>
    </row>
    <row r="181" spans="22:24" x14ac:dyDescent="0.2">
      <c r="V181" s="39"/>
      <c r="W181" s="40"/>
      <c r="X181" s="37"/>
    </row>
    <row r="182" spans="22:24" x14ac:dyDescent="0.2">
      <c r="V182" s="39"/>
      <c r="W182" s="40"/>
      <c r="X182" s="37"/>
    </row>
    <row r="183" spans="22:24" x14ac:dyDescent="0.2">
      <c r="V183" s="39"/>
      <c r="W183" s="40"/>
      <c r="X183" s="37"/>
    </row>
    <row r="184" spans="22:24" x14ac:dyDescent="0.2">
      <c r="V184" s="39"/>
      <c r="W184" s="40"/>
      <c r="X184" s="37"/>
    </row>
    <row r="185" spans="22:24" x14ac:dyDescent="0.2">
      <c r="V185" s="39"/>
      <c r="W185" s="40"/>
      <c r="X185" s="37"/>
    </row>
    <row r="186" spans="22:24" x14ac:dyDescent="0.2">
      <c r="V186" s="39"/>
      <c r="W186" s="40"/>
      <c r="X186" s="37"/>
    </row>
    <row r="187" spans="22:24" x14ac:dyDescent="0.2">
      <c r="V187" s="39"/>
      <c r="W187" s="40"/>
      <c r="X187" s="37"/>
    </row>
    <row r="188" spans="22:24" x14ac:dyDescent="0.2">
      <c r="V188" s="39"/>
      <c r="W188" s="40"/>
      <c r="X188" s="37"/>
    </row>
    <row r="189" spans="22:24" x14ac:dyDescent="0.2">
      <c r="V189" s="39"/>
      <c r="W189" s="40"/>
      <c r="X189" s="37"/>
    </row>
    <row r="190" spans="22:24" x14ac:dyDescent="0.2">
      <c r="V190" s="39"/>
      <c r="W190" s="40"/>
      <c r="X190" s="37"/>
    </row>
    <row r="191" spans="22:24" x14ac:dyDescent="0.2">
      <c r="V191" s="39"/>
      <c r="W191" s="40"/>
      <c r="X191" s="37"/>
    </row>
    <row r="192" spans="22:24" x14ac:dyDescent="0.2">
      <c r="V192" s="39"/>
      <c r="W192" s="40"/>
      <c r="X192" s="37"/>
    </row>
    <row r="193" spans="22:24" x14ac:dyDescent="0.2">
      <c r="V193" s="39"/>
      <c r="W193" s="40"/>
      <c r="X193" s="37"/>
    </row>
    <row r="194" spans="22:24" x14ac:dyDescent="0.2">
      <c r="V194" s="39"/>
      <c r="W194" s="40"/>
      <c r="X194" s="37"/>
    </row>
    <row r="195" spans="22:24" x14ac:dyDescent="0.2">
      <c r="V195" s="39"/>
      <c r="W195" s="40"/>
      <c r="X195" s="37"/>
    </row>
    <row r="196" spans="22:24" x14ac:dyDescent="0.2">
      <c r="V196" s="39"/>
      <c r="W196" s="40"/>
      <c r="X196" s="37"/>
    </row>
    <row r="197" spans="22:24" x14ac:dyDescent="0.2">
      <c r="V197" s="39"/>
      <c r="W197" s="40"/>
      <c r="X197" s="37"/>
    </row>
    <row r="198" spans="22:24" x14ac:dyDescent="0.2">
      <c r="V198" s="39"/>
      <c r="W198" s="40"/>
      <c r="X198" s="37"/>
    </row>
    <row r="199" spans="22:24" x14ac:dyDescent="0.2">
      <c r="V199" s="39"/>
      <c r="W199" s="40"/>
      <c r="X199" s="37"/>
    </row>
    <row r="200" spans="22:24" x14ac:dyDescent="0.2">
      <c r="V200" s="35"/>
      <c r="W200" s="38"/>
      <c r="X200" s="37"/>
    </row>
    <row r="201" spans="22:24" x14ac:dyDescent="0.2">
      <c r="V201" s="35"/>
      <c r="W201" s="38"/>
      <c r="X201" s="37"/>
    </row>
    <row r="202" spans="22:24" x14ac:dyDescent="0.2">
      <c r="V202" s="35"/>
      <c r="W202" s="38"/>
      <c r="X202" s="37"/>
    </row>
    <row r="203" spans="22:24" x14ac:dyDescent="0.2">
      <c r="V203" s="35"/>
      <c r="W203" s="38"/>
      <c r="X203" s="37"/>
    </row>
    <row r="204" spans="22:24" x14ac:dyDescent="0.2">
      <c r="V204" s="35"/>
      <c r="W204" s="38"/>
      <c r="X204" s="37"/>
    </row>
    <row r="205" spans="22:24" x14ac:dyDescent="0.2">
      <c r="V205" s="35"/>
      <c r="W205" s="38"/>
      <c r="X205" s="37"/>
    </row>
    <row r="206" spans="22:24" x14ac:dyDescent="0.2">
      <c r="V206" s="35"/>
      <c r="W206" s="38"/>
      <c r="X206" s="37"/>
    </row>
    <row r="207" spans="22:24" x14ac:dyDescent="0.2">
      <c r="V207" s="35"/>
      <c r="W207" s="38"/>
      <c r="X207" s="37"/>
    </row>
    <row r="208" spans="22:24" x14ac:dyDescent="0.2">
      <c r="V208" s="35"/>
      <c r="W208" s="38"/>
      <c r="X208" s="37"/>
    </row>
    <row r="209" spans="22:24" x14ac:dyDescent="0.2">
      <c r="V209" s="35"/>
      <c r="W209" s="38"/>
      <c r="X209" s="37"/>
    </row>
    <row r="210" spans="22:24" x14ac:dyDescent="0.2">
      <c r="V210" s="35"/>
      <c r="W210" s="38"/>
      <c r="X210" s="37"/>
    </row>
    <row r="211" spans="22:24" x14ac:dyDescent="0.2">
      <c r="V211" s="35"/>
      <c r="W211" s="38"/>
      <c r="X211" s="37"/>
    </row>
    <row r="212" spans="22:24" x14ac:dyDescent="0.2">
      <c r="V212" s="35"/>
      <c r="W212" s="38"/>
      <c r="X212" s="37"/>
    </row>
    <row r="213" spans="22:24" x14ac:dyDescent="0.2">
      <c r="V213" s="35"/>
      <c r="W213" s="38"/>
      <c r="X213" s="37"/>
    </row>
    <row r="214" spans="22:24" x14ac:dyDescent="0.2">
      <c r="V214" s="35"/>
      <c r="W214" s="38"/>
      <c r="X214" s="37"/>
    </row>
    <row r="215" spans="22:24" x14ac:dyDescent="0.2">
      <c r="V215" s="35"/>
      <c r="W215" s="38"/>
      <c r="X215" s="37"/>
    </row>
    <row r="216" spans="22:24" x14ac:dyDescent="0.2">
      <c r="V216" s="35"/>
      <c r="W216" s="38"/>
      <c r="X216" s="37"/>
    </row>
    <row r="217" spans="22:24" x14ac:dyDescent="0.2">
      <c r="V217" s="35"/>
      <c r="W217" s="38"/>
      <c r="X217" s="37"/>
    </row>
    <row r="218" spans="22:24" x14ac:dyDescent="0.2">
      <c r="V218" s="35"/>
      <c r="W218" s="38"/>
      <c r="X218" s="37"/>
    </row>
    <row r="219" spans="22:24" x14ac:dyDescent="0.2">
      <c r="V219" s="35"/>
      <c r="W219" s="38"/>
      <c r="X219" s="37"/>
    </row>
    <row r="220" spans="22:24" x14ac:dyDescent="0.2">
      <c r="V220" s="35"/>
      <c r="W220" s="38"/>
      <c r="X220" s="37"/>
    </row>
    <row r="221" spans="22:24" x14ac:dyDescent="0.2">
      <c r="V221" s="35"/>
      <c r="W221" s="38"/>
      <c r="X221" s="37"/>
    </row>
    <row r="222" spans="22:24" x14ac:dyDescent="0.2">
      <c r="V222" s="35"/>
      <c r="W222" s="38"/>
      <c r="X222" s="37"/>
    </row>
    <row r="223" spans="22:24" x14ac:dyDescent="0.2">
      <c r="V223" s="35"/>
      <c r="W223" s="38"/>
      <c r="X223" s="37"/>
    </row>
    <row r="224" spans="22:24" x14ac:dyDescent="0.2">
      <c r="V224" s="35"/>
      <c r="W224" s="38"/>
      <c r="X224" s="37"/>
    </row>
    <row r="225" spans="22:24" x14ac:dyDescent="0.2">
      <c r="V225" s="35"/>
      <c r="W225" s="38"/>
      <c r="X225" s="37"/>
    </row>
    <row r="226" spans="22:24" x14ac:dyDescent="0.2">
      <c r="V226" s="35"/>
      <c r="W226" s="38"/>
      <c r="X226" s="37"/>
    </row>
    <row r="227" spans="22:24" x14ac:dyDescent="0.2">
      <c r="V227" s="35"/>
      <c r="W227" s="38"/>
      <c r="X227" s="37"/>
    </row>
    <row r="228" spans="22:24" x14ac:dyDescent="0.2">
      <c r="V228" s="35"/>
      <c r="W228" s="38"/>
      <c r="X228" s="37"/>
    </row>
    <row r="229" spans="22:24" x14ac:dyDescent="0.2">
      <c r="V229" s="35"/>
      <c r="W229" s="38"/>
      <c r="X229" s="37"/>
    </row>
    <row r="230" spans="22:24" x14ac:dyDescent="0.2">
      <c r="V230" s="35"/>
      <c r="W230" s="38"/>
      <c r="X230" s="37"/>
    </row>
    <row r="231" spans="22:24" x14ac:dyDescent="0.2">
      <c r="V231" s="35"/>
      <c r="W231" s="38"/>
      <c r="X231" s="37"/>
    </row>
    <row r="232" spans="22:24" x14ac:dyDescent="0.2">
      <c r="V232" s="35"/>
      <c r="W232" s="38"/>
      <c r="X232" s="37"/>
    </row>
    <row r="233" spans="22:24" x14ac:dyDescent="0.2">
      <c r="V233" s="35"/>
      <c r="W233" s="38"/>
      <c r="X233" s="37"/>
    </row>
    <row r="234" spans="22:24" x14ac:dyDescent="0.2">
      <c r="V234" s="35"/>
      <c r="W234" s="38"/>
      <c r="X234" s="37"/>
    </row>
    <row r="235" spans="22:24" x14ac:dyDescent="0.2">
      <c r="V235" s="35"/>
      <c r="W235" s="38"/>
      <c r="X235" s="37"/>
    </row>
    <row r="236" spans="22:24" x14ac:dyDescent="0.2">
      <c r="V236" s="35"/>
      <c r="W236" s="38"/>
      <c r="X236" s="37"/>
    </row>
    <row r="237" spans="22:24" x14ac:dyDescent="0.2">
      <c r="V237" s="35"/>
      <c r="W237" s="38"/>
      <c r="X237" s="37"/>
    </row>
    <row r="238" spans="22:24" x14ac:dyDescent="0.2">
      <c r="V238" s="37"/>
      <c r="W238" s="37"/>
      <c r="X238" s="37"/>
    </row>
    <row r="239" spans="22:24" x14ac:dyDescent="0.2">
      <c r="V239" s="37"/>
      <c r="W239" s="37"/>
      <c r="X239" s="37"/>
    </row>
  </sheetData>
  <phoneticPr fontId="9" type="noConversion"/>
  <pageMargins left="0.19685039370078741" right="0.19685039370078741" top="0.19685039370078741" bottom="0.19685039370078741" header="0.51181102362204722" footer="0.51181102362204722"/>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NAPT 0248-26 EXPLT YDE OUEST</vt:lpstr>
      <vt:lpstr>Estimation ENFs et Thermique</vt:lpstr>
      <vt:lpstr>'NAPT 0248-26 EXPLT YDE OUEST'!Zone_d_impression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Serge Ekoe</dc:creator>
  <cp:lastModifiedBy>Edouard Dayas Koufana Koufana</cp:lastModifiedBy>
  <cp:lastPrinted>2022-11-02T10:04:24Z</cp:lastPrinted>
  <dcterms:created xsi:type="dcterms:W3CDTF">2010-09-06T08:46:29Z</dcterms:created>
  <dcterms:modified xsi:type="dcterms:W3CDTF">2026-05-12T15:07:36Z</dcterms:modified>
</cp:coreProperties>
</file>